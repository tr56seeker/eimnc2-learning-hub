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97" firstSheet="0" activeTab="5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PUT DATA" sheetId="2" state="visible" r:id="rId2"/>
    <sheet xmlns:r="http://schemas.openxmlformats.org/officeDocument/2006/relationships" name="TERM 1" sheetId="3" state="visible" r:id="rId3"/>
    <sheet xmlns:r="http://schemas.openxmlformats.org/officeDocument/2006/relationships" name="TERM 2" sheetId="4" state="visible" r:id="rId4"/>
    <sheet xmlns:r="http://schemas.openxmlformats.org/officeDocument/2006/relationships" name="TERM 3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Helper(IMPORTANT!)" sheetId="7" state="hidden" r:id="rId7"/>
  </sheets>
  <externalReferences>
    <externalReference xmlns:r="http://schemas.openxmlformats.org/officeDocument/2006/relationships" r:id="rId8"/>
  </externalReferences>
  <definedNames>
    <definedName name="PERFORMANCETASKS">#REF!</definedName>
    <definedName name="PT">#REF!</definedName>
    <definedName name="QA">#REF!</definedName>
    <definedName name="QUARTERLYASSESSMENT">#REF!</definedName>
    <definedName name="SUBJECTS">'[1]INPUT DATA'!$A$1002:$A$1005</definedName>
    <definedName name="Transmu_Table">#REF!</definedName>
    <definedName name="WRITTENWORKS">#REF!</definedName>
    <definedName name="WW">#REF!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;;"/>
    <numFmt numFmtId="165" formatCode="0.0"/>
  </numFmts>
  <fonts count="5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2"/>
    </font>
    <font>
      <name val="Arial Narrow"/>
      <family val="2"/>
      <i val="1"/>
      <color indexed="72"/>
      <sz val="7"/>
    </font>
    <font>
      <name val="Arial"/>
      <family val="2"/>
      <sz val="12"/>
    </font>
    <font>
      <name val="Arial"/>
      <family val="2"/>
      <sz val="14"/>
    </font>
    <font>
      <name val="Arial"/>
      <family val="2"/>
      <b val="1"/>
      <sz val="2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11"/>
    </font>
    <font>
      <name val="Arial"/>
      <family val="2"/>
      <color theme="0"/>
      <sz val="11"/>
    </font>
    <font>
      <name val="Arial"/>
      <family val="2"/>
      <b val="1"/>
      <i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0"/>
      <sz val="11"/>
    </font>
    <font>
      <name val="Arial"/>
      <family val="2"/>
      <b val="1"/>
      <color rgb="FF002060"/>
      <sz val="20"/>
    </font>
    <font>
      <name val="Arial"/>
      <family val="2"/>
      <b val="1"/>
      <color rgb="FF002060"/>
      <sz val="11"/>
    </font>
    <font>
      <name val="Arial"/>
      <family val="2"/>
      <b val="1"/>
      <color theme="0"/>
      <sz val="20"/>
    </font>
    <font>
      <name val="Arial"/>
      <family val="2"/>
      <i val="1"/>
      <color theme="1"/>
      <sz val="11"/>
    </font>
    <font>
      <name val="Arial"/>
      <family val="2"/>
      <i val="1"/>
      <color theme="1"/>
      <sz val="8"/>
    </font>
    <font>
      <name val="Arial"/>
      <family val="2"/>
      <color theme="2" tint="-0.09997863704336681"/>
      <sz val="11"/>
    </font>
    <font>
      <name val="Arial"/>
      <family val="2"/>
      <i val="1"/>
      <color theme="1" tint="0.3499862666707358"/>
      <sz val="8"/>
    </font>
    <font>
      <name val="Arial"/>
      <family val="2"/>
      <i val="1"/>
      <color theme="1" tint="0.3499862666707358"/>
      <sz val="11"/>
    </font>
    <font>
      <name val="Arial"/>
      <family val="2"/>
      <b val="1"/>
      <color rgb="FF002060"/>
      <sz val="12"/>
    </font>
    <font>
      <name val="Arial"/>
      <family val="2"/>
      <color theme="1"/>
      <sz val="8"/>
    </font>
    <font>
      <name val="Arial"/>
      <family val="2"/>
      <b val="1"/>
      <color rgb="FFFF0000"/>
      <sz val="18"/>
    </font>
    <font>
      <name val="Arial"/>
      <family val="2"/>
      <b val="1"/>
      <color rgb="FFFF0000"/>
      <sz val="9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Arial Narrow"/>
      <family val="2"/>
      <i val="1"/>
      <color theme="1"/>
      <sz val="8"/>
    </font>
    <font>
      <name val="Arial Narrow"/>
      <family val="2"/>
      <b val="1"/>
      <color theme="0"/>
      <sz val="11"/>
    </font>
    <font>
      <name val="Arial Narrow"/>
      <family val="2"/>
      <color theme="1"/>
      <sz val="11"/>
    </font>
    <font>
      <name val="Arial Narrow"/>
      <family val="2"/>
      <b val="1"/>
      <color theme="1"/>
      <sz val="11"/>
    </font>
    <font>
      <name val="Arial Narrow"/>
      <family val="2"/>
      <color theme="0"/>
      <sz val="11"/>
    </font>
    <font>
      <name val="Arial Narrow"/>
      <family val="2"/>
      <color theme="1"/>
      <sz val="8"/>
    </font>
    <font>
      <name val="Arial Narrow"/>
      <family val="2"/>
      <b val="1"/>
      <color rgb="FF0046D2"/>
      <sz val="11"/>
    </font>
    <font>
      <name val="Arial"/>
      <family val="2"/>
      <b val="1"/>
      <color theme="2" tint="-0.09997863704336681"/>
      <sz val="8"/>
    </font>
    <font>
      <name val="Arial"/>
      <family val="2"/>
      <b val="1"/>
      <color theme="2" tint="-0.09997863704336681"/>
      <sz val="11"/>
    </font>
    <font>
      <name val="Arial"/>
      <family val="2"/>
      <i val="1"/>
      <color theme="1"/>
      <sz val="10"/>
    </font>
    <font>
      <name val="Arial"/>
      <family val="2"/>
      <color theme="0"/>
      <sz val="9"/>
    </font>
    <font>
      <name val="Calibri"/>
      <family val="2"/>
      <i val="1"/>
      <color theme="1"/>
      <sz val="8"/>
      <scheme val="minor"/>
    </font>
    <font>
      <name val="Arial"/>
      <family val="2"/>
      <i val="1"/>
      <color theme="1"/>
      <sz val="7"/>
    </font>
    <font>
      <name val="Arial"/>
      <family val="2"/>
      <b val="1"/>
      <color theme="1"/>
      <sz val="8"/>
    </font>
    <font>
      <name val="Arial"/>
      <family val="2"/>
      <i val="1"/>
      <sz val="10"/>
    </font>
    <font>
      <name val="Arial"/>
      <family val="2"/>
      <i val="1"/>
      <color rgb="FF002060"/>
      <sz val="9"/>
    </font>
    <font>
      <name val="Calibri"/>
      <family val="2"/>
      <color theme="10"/>
      <sz val="11"/>
      <u val="single"/>
      <scheme val="minor"/>
    </font>
    <font>
      <name val="Arial"/>
      <family val="2"/>
      <color theme="1"/>
      <sz val="12"/>
    </font>
    <font>
      <name val="Arial Narrow"/>
      <family val="2"/>
      <b val="1"/>
      <color theme="1"/>
      <sz val="18"/>
    </font>
    <font>
      <name val="Arial Narrow"/>
      <family val="2"/>
      <b val="1"/>
      <color theme="1"/>
      <sz val="22"/>
    </font>
    <font>
      <name val="Arial"/>
      <family val="2"/>
      <i val="1"/>
      <color rgb="FF002060"/>
      <sz val="8"/>
    </font>
  </fonts>
  <fills count="22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46D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7999816888943144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1" tint="0.499984740745262"/>
      </right>
      <top style="medium">
        <color theme="0" tint="-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0" tint="-0.499984740745262"/>
      </top>
      <bottom/>
      <diagonal/>
    </border>
    <border>
      <left style="medium">
        <color theme="1" tint="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1" tint="0.499984740745262"/>
      </right>
      <top/>
      <bottom style="medium">
        <color theme="0" tint="-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0" tint="-0.499984740745262"/>
      </bottom>
      <diagonal/>
    </border>
    <border>
      <left style="medium">
        <color theme="1" tint="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2" tint="-0.09994811853389081"/>
      </left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0.09994811853389081"/>
      </left>
      <right/>
      <top style="thin">
        <color theme="2" tint="-0.09994811853389081"/>
      </top>
      <bottom style="thin">
        <color theme="2" tint="-0.09994811853389081"/>
      </bottom>
      <diagonal/>
    </border>
    <border>
      <left/>
      <right/>
      <top style="thin">
        <color theme="2" tint="-0.09994811853389081"/>
      </top>
      <bottom style="thin">
        <color theme="2" tint="-0.09994811853389081"/>
      </bottom>
      <diagonal/>
    </border>
    <border>
      <left/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/>
      <bottom/>
      <diagonal/>
    </border>
    <border>
      <left/>
      <right/>
      <top style="thin">
        <color theme="2" tint="-0.09994811853389081"/>
      </top>
      <bottom/>
      <diagonal/>
    </border>
    <border>
      <left/>
      <right style="thin">
        <color theme="2" tint="-0.09994811853389081"/>
      </right>
      <top style="thin">
        <color theme="2" tint="-0.09994811853389081"/>
      </top>
      <bottom/>
      <diagonal/>
    </border>
    <border>
      <left style="medium">
        <color theme="1" tint="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1" tint="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1" tint="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1" fillId="0" borderId="0"/>
    <xf numFmtId="9" fontId="1" fillId="0" borderId="0"/>
    <xf numFmtId="0" fontId="10" fillId="0" borderId="0"/>
    <xf numFmtId="0" fontId="50" fillId="0" borderId="0"/>
  </cellStyleXfs>
  <cellXfs count="705">
    <xf numFmtId="0" fontId="0" fillId="0" borderId="0" pivotButton="0" quotePrefix="0" xfId="0"/>
    <xf numFmtId="0" fontId="4" fillId="0" borderId="0" applyProtection="1" pivotButton="0" quotePrefix="0" xfId="0"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Alignment="1" applyProtection="1" pivotButton="0" quotePrefix="0" xfId="0">
      <alignment horizontal="center"/>
      <protection locked="1" hidden="1"/>
    </xf>
    <xf numFmtId="0" fontId="3" fillId="0" borderId="0" applyAlignment="1" applyProtection="1" pivotButton="0" quotePrefix="0" xfId="0">
      <alignment horizontal="center"/>
      <protection locked="0" hidden="0"/>
    </xf>
    <xf numFmtId="0" fontId="3" fillId="0" borderId="0" applyAlignment="1" applyProtection="1" pivotButton="0" quotePrefix="0" xfId="0">
      <alignment shrinkToFit="1"/>
      <protection locked="0" hidden="0"/>
    </xf>
    <xf numFmtId="0" fontId="3" fillId="0" borderId="0" applyProtection="1" pivotButton="0" quotePrefix="0" xfId="0">
      <protection locked="0" hidden="0"/>
    </xf>
    <xf numFmtId="2" fontId="3" fillId="0" borderId="0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vertical="center"/>
      <protection locked="1" hidden="1"/>
    </xf>
    <xf numFmtId="2" fontId="3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applyProtection="1" pivotButton="0" quotePrefix="0" xfId="0">
      <alignment horizontal="center" vertical="center" textRotation="90" wrapText="1"/>
      <protection locked="0" hidden="0"/>
    </xf>
    <xf numFmtId="2" fontId="3" fillId="0" borderId="0" applyAlignment="1" applyProtection="1" pivotButton="0" quotePrefix="0" xfId="0">
      <alignment horizontal="center" vertical="center" textRotation="90" wrapText="1"/>
      <protection locked="0" hidden="0"/>
    </xf>
    <xf numFmtId="2" fontId="3" fillId="0" borderId="0" applyAlignment="1" applyProtection="1" pivotButton="0" quotePrefix="0" xfId="0">
      <alignment horizontal="left" vertical="center" textRotation="90" wrapText="1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top" wrapText="1"/>
      <protection locked="0" hidden="0"/>
    </xf>
    <xf numFmtId="0" fontId="6" fillId="0" borderId="0" applyAlignment="1" applyProtection="1" pivotButton="0" quotePrefix="0" xfId="0">
      <alignment vertical="top" wrapText="1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9" fontId="3" fillId="0" borderId="0" applyAlignment="1" applyProtection="1" pivotButton="0" quotePrefix="0" xfId="1">
      <alignment horizontal="center"/>
      <protection locked="0" hidden="0"/>
    </xf>
    <xf numFmtId="2" fontId="3" fillId="0" borderId="0" applyAlignment="1" applyProtection="1" pivotButton="0" quotePrefix="0" xfId="1">
      <alignment horizontal="center"/>
      <protection locked="0" hidden="0"/>
    </xf>
    <xf numFmtId="1" fontId="3" fillId="0" borderId="0" applyAlignment="1" applyProtection="1" pivotButton="0" quotePrefix="0" xfId="0">
      <alignment horizontal="center"/>
      <protection locked="0" hidden="0"/>
    </xf>
    <xf numFmtId="0" fontId="3" fillId="0" borderId="17" applyAlignment="1" applyProtection="1" pivotButton="0" quotePrefix="0" xfId="0">
      <alignment horizontal="center"/>
      <protection locked="1" hidden="1"/>
    </xf>
    <xf numFmtId="0" fontId="3" fillId="0" borderId="21" applyAlignment="1" applyProtection="1" pivotButton="0" quotePrefix="0" xfId="0">
      <alignment horizontal="center"/>
      <protection locked="1" hidden="1"/>
    </xf>
    <xf numFmtId="0" fontId="3" fillId="0" borderId="24" applyAlignment="1" applyProtection="1" pivotButton="0" quotePrefix="0" xfId="0">
      <alignment horizontal="center"/>
      <protection locked="1" hidden="1"/>
    </xf>
    <xf numFmtId="0" fontId="3" fillId="0" borderId="29" applyAlignment="1" applyProtection="1" pivotButton="0" quotePrefix="0" xfId="0">
      <alignment horizontal="center"/>
      <protection locked="1" hidden="1"/>
    </xf>
    <xf numFmtId="0" fontId="9" fillId="0" borderId="0" applyAlignment="1" applyProtection="1" pivotButton="0" quotePrefix="0" xfId="0">
      <alignment horizontal="center" vertical="top" wrapText="1"/>
      <protection locked="1" hidden="1"/>
    </xf>
    <xf numFmtId="0" fontId="6" fillId="0" borderId="0" applyAlignment="1" applyProtection="1" pivotButton="0" quotePrefix="0" xfId="0">
      <alignment vertical="top" wrapText="1"/>
      <protection locked="1" hidden="1"/>
    </xf>
    <xf numFmtId="0" fontId="2" fillId="0" borderId="0" applyAlignment="1" applyProtection="1" pivotButton="0" quotePrefix="0" xfId="0">
      <alignment horizontal="right" vertical="center"/>
      <protection locked="1" hidden="1"/>
    </xf>
    <xf numFmtId="164" fontId="2" fillId="0" borderId="0" applyAlignment="1" applyProtection="1" pivotButton="0" quotePrefix="0" xfId="0">
      <alignment horizontal="right" vertical="center"/>
      <protection locked="1" hidden="1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vertical="center"/>
      <protection locked="1" hidden="1"/>
    </xf>
    <xf numFmtId="164" fontId="7" fillId="0" borderId="0" applyAlignment="1" applyProtection="1" pivotButton="0" quotePrefix="0" xfId="0">
      <alignment horizontal="center" vertical="center" shrinkToFit="1"/>
      <protection locked="1" hidden="1"/>
    </xf>
    <xf numFmtId="164" fontId="5" fillId="0" borderId="0" applyAlignment="1" applyProtection="1" pivotButton="0" quotePrefix="0" xfId="0">
      <alignment vertical="center"/>
      <protection locked="1" hidden="1"/>
    </xf>
    <xf numFmtId="0" fontId="3" fillId="0" borderId="5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2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4" fillId="0" borderId="0" applyAlignment="1" applyProtection="1" pivotButton="0" quotePrefix="0" xfId="0">
      <alignment vertical="center"/>
      <protection locked="1" hidden="1"/>
    </xf>
    <xf numFmtId="0" fontId="4" fillId="0" borderId="0" applyAlignment="1" applyProtection="1" pivotButton="0" quotePrefix="0" xfId="0">
      <alignment horizontal="center" vertical="center"/>
      <protection locked="1" hidden="1"/>
    </xf>
    <xf numFmtId="0" fontId="8" fillId="0" borderId="0" applyAlignment="1" applyProtection="1" pivotButton="0" quotePrefix="0" xfId="0">
      <alignment horizontal="center" vertical="center"/>
      <protection locked="1" hidden="1"/>
    </xf>
    <xf numFmtId="164" fontId="4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 shrinkToFit="1"/>
      <protection locked="1" hidden="1"/>
    </xf>
    <xf numFmtId="2" fontId="3" fillId="0" borderId="5" applyAlignment="1" applyProtection="1" pivotButton="0" quotePrefix="0" xfId="0">
      <alignment horizontal="center" vertical="center"/>
      <protection locked="1" hidden="1"/>
    </xf>
    <xf numFmtId="0" fontId="3" fillId="0" borderId="15" applyAlignment="1" applyProtection="1" pivotButton="0" quotePrefix="0" xfId="0">
      <alignment horizontal="center" vertical="center"/>
      <protection locked="1" hidden="1"/>
    </xf>
    <xf numFmtId="0" fontId="13" fillId="0" borderId="20" applyAlignment="1" applyProtection="1" pivotButton="0" quotePrefix="0" xfId="0">
      <alignment horizontal="center" vertical="center"/>
      <protection locked="0" hidden="0"/>
    </xf>
    <xf numFmtId="0" fontId="13" fillId="0" borderId="23" applyAlignment="1" applyProtection="1" pivotButton="0" quotePrefix="0" xfId="0">
      <alignment horizontal="center" vertical="center"/>
      <protection locked="0" hidden="0"/>
    </xf>
    <xf numFmtId="2" fontId="11" fillId="0" borderId="55" applyAlignment="1" applyProtection="1" pivotButton="0" quotePrefix="0" xfId="0">
      <alignment horizontal="center" vertical="center"/>
      <protection locked="1" hidden="1"/>
    </xf>
    <xf numFmtId="1" fontId="10" fillId="0" borderId="55" applyAlignment="1" applyProtection="1" pivotButton="0" quotePrefix="0" xfId="0">
      <alignment horizontal="center" vertical="center"/>
      <protection locked="1" hidden="1"/>
    </xf>
    <xf numFmtId="0" fontId="10" fillId="0" borderId="23" applyAlignment="1" applyProtection="1" pivotButton="0" quotePrefix="0" xfId="0">
      <alignment horizontal="center" vertical="center"/>
      <protection locked="0" hidden="0"/>
    </xf>
    <xf numFmtId="0" fontId="3" fillId="0" borderId="45" applyAlignment="1" applyProtection="1" pivotButton="0" quotePrefix="0" xfId="0">
      <alignment horizontal="center" vertical="center"/>
      <protection locked="1" hidden="1"/>
    </xf>
    <xf numFmtId="0" fontId="13" fillId="0" borderId="46" applyAlignment="1" applyProtection="1" pivotButton="0" quotePrefix="0" xfId="0">
      <alignment horizontal="center" vertical="center"/>
      <protection locked="0" hidden="0"/>
    </xf>
    <xf numFmtId="0" fontId="10" fillId="0" borderId="46" applyAlignment="1" applyProtection="1" pivotButton="0" quotePrefix="0" xfId="0">
      <alignment horizontal="center" vertical="center"/>
      <protection locked="0" hidden="0"/>
    </xf>
    <xf numFmtId="9" fontId="3" fillId="5" borderId="37" applyAlignment="1" applyProtection="1" pivotButton="0" quotePrefix="0" xfId="1">
      <alignment horizontal="center" vertical="center"/>
      <protection locked="1" hidden="1"/>
    </xf>
    <xf numFmtId="2" fontId="11" fillId="5" borderId="57" applyAlignment="1" applyProtection="1" pivotButton="0" quotePrefix="0" xfId="0">
      <alignment horizontal="center" vertical="center"/>
      <protection locked="1" hidden="1"/>
    </xf>
    <xf numFmtId="2" fontId="11" fillId="0" borderId="58" applyAlignment="1" applyProtection="1" pivotButton="0" quotePrefix="0" xfId="0">
      <alignment horizontal="center" vertical="center"/>
      <protection locked="1" hidden="1"/>
    </xf>
    <xf numFmtId="2" fontId="11" fillId="0" borderId="47" applyAlignment="1" applyProtection="1" pivotButton="0" quotePrefix="0" xfId="0">
      <alignment horizontal="center" vertical="center"/>
      <protection locked="1" hidden="1"/>
    </xf>
    <xf numFmtId="0" fontId="11" fillId="0" borderId="47" applyAlignment="1" applyProtection="1" pivotButton="0" quotePrefix="0" xfId="0">
      <alignment horizontal="center" vertical="center"/>
      <protection locked="1" hidden="1"/>
    </xf>
    <xf numFmtId="9" fontId="11" fillId="5" borderId="48" applyAlignment="1" applyProtection="1" pivotButton="0" quotePrefix="0" xfId="0">
      <alignment horizontal="center" vertical="center"/>
      <protection locked="1" hidden="1"/>
    </xf>
    <xf numFmtId="164" fontId="7" fillId="0" borderId="39" applyAlignment="1" applyProtection="1" pivotButton="0" quotePrefix="0" xfId="0">
      <alignment horizontal="centerContinuous" vertical="center"/>
      <protection locked="1" hidden="1"/>
    </xf>
    <xf numFmtId="164" fontId="7" fillId="0" borderId="40" applyAlignment="1" applyProtection="1" pivotButton="0" quotePrefix="0" xfId="0">
      <alignment horizontal="centerContinuous" vertical="center"/>
      <protection locked="1" hidden="1"/>
    </xf>
    <xf numFmtId="164" fontId="7" fillId="0" borderId="41" applyAlignment="1" applyProtection="1" pivotButton="0" quotePrefix="0" xfId="0">
      <alignment horizontal="centerContinuous" vertical="center"/>
      <protection locked="1" hidden="1"/>
    </xf>
    <xf numFmtId="164" fontId="7" fillId="0" borderId="21" applyAlignment="1" applyProtection="1" pivotButton="0" quotePrefix="0" xfId="0">
      <alignment horizontal="centerContinuous" vertical="center"/>
      <protection locked="1" hidden="1"/>
    </xf>
    <xf numFmtId="164" fontId="7" fillId="0" borderId="3" applyAlignment="1" applyProtection="1" pivotButton="0" quotePrefix="0" xfId="0">
      <alignment horizontal="centerContinuous" vertical="center"/>
      <protection locked="1" hidden="1"/>
    </xf>
    <xf numFmtId="164" fontId="7" fillId="0" borderId="22" applyAlignment="1" applyProtection="1" pivotButton="0" quotePrefix="0" xfId="0">
      <alignment horizontal="centerContinuous" vertical="center"/>
      <protection locked="1" hidden="1"/>
    </xf>
    <xf numFmtId="164" fontId="7" fillId="0" borderId="29" applyAlignment="1" applyProtection="1" pivotButton="0" quotePrefix="0" xfId="0">
      <alignment horizontal="centerContinuous" vertical="center"/>
      <protection locked="1" hidden="1"/>
    </xf>
    <xf numFmtId="164" fontId="7" fillId="0" borderId="30" applyAlignment="1" applyProtection="1" pivotButton="0" quotePrefix="0" xfId="0">
      <alignment horizontal="centerContinuous" vertical="center"/>
      <protection locked="1" hidden="1"/>
    </xf>
    <xf numFmtId="164" fontId="7" fillId="0" borderId="31" applyAlignment="1" applyProtection="1" pivotButton="0" quotePrefix="0" xfId="0">
      <alignment horizontal="centerContinuous" vertical="center"/>
      <protection locked="1" hidden="1"/>
    </xf>
    <xf numFmtId="164" fontId="7" fillId="0" borderId="18" applyAlignment="1" applyProtection="1" pivotButton="0" quotePrefix="0" xfId="0">
      <alignment horizontal="centerContinuous" vertical="center"/>
      <protection locked="1" hidden="1"/>
    </xf>
    <xf numFmtId="164" fontId="7" fillId="0" borderId="64" applyAlignment="1" applyProtection="1" pivotButton="0" quotePrefix="0" xfId="0">
      <alignment horizontal="centerContinuous" vertical="center"/>
      <protection locked="1" hidden="1"/>
    </xf>
    <xf numFmtId="164" fontId="7" fillId="0" borderId="17" applyAlignment="1" applyProtection="1" pivotButton="0" quotePrefix="0" xfId="0">
      <alignment horizontal="centerContinuous" vertical="center"/>
      <protection locked="1" hidden="1"/>
    </xf>
    <xf numFmtId="0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/>
    </xf>
    <xf numFmtId="0" fontId="18" fillId="5" borderId="12" applyAlignment="1" pivotButton="0" quotePrefix="0" xfId="0">
      <alignment vertical="center"/>
    </xf>
    <xf numFmtId="0" fontId="18" fillId="5" borderId="14" applyAlignment="1" pivotButton="0" quotePrefix="0" xfId="0">
      <alignment vertical="center"/>
    </xf>
    <xf numFmtId="0" fontId="18" fillId="5" borderId="0" applyAlignment="1" pivotButton="0" quotePrefix="0" xfId="0">
      <alignment vertical="center"/>
    </xf>
    <xf numFmtId="0" fontId="18" fillId="5" borderId="35" applyAlignment="1" pivotButton="0" quotePrefix="0" xfId="0">
      <alignment vertical="center"/>
    </xf>
    <xf numFmtId="0" fontId="18" fillId="5" borderId="36" applyAlignment="1" pivotButton="0" quotePrefix="0" xfId="0">
      <alignment vertical="center"/>
    </xf>
    <xf numFmtId="0" fontId="18" fillId="5" borderId="36" applyAlignment="1" pivotButton="0" quotePrefix="0" xfId="0">
      <alignment horizontal="center" vertical="center"/>
    </xf>
    <xf numFmtId="0" fontId="18" fillId="5" borderId="33" applyAlignment="1" pivotButton="0" quotePrefix="0" xfId="0">
      <alignment vertical="center"/>
    </xf>
    <xf numFmtId="0" fontId="21" fillId="5" borderId="0" applyAlignment="1" pivotButton="0" quotePrefix="0" xfId="0">
      <alignment horizontal="left" vertical="center" indent="1"/>
    </xf>
    <xf numFmtId="0" fontId="21" fillId="10" borderId="3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left" vertical="center"/>
    </xf>
    <xf numFmtId="0" fontId="19" fillId="11" borderId="2" applyAlignment="1" pivotButton="0" quotePrefix="0" xfId="0">
      <alignment horizontal="left" vertical="center" indent="1"/>
    </xf>
    <xf numFmtId="0" fontId="21" fillId="10" borderId="23" applyAlignment="1" pivotButton="0" quotePrefix="0" xfId="0">
      <alignment vertical="center"/>
    </xf>
    <xf numFmtId="0" fontId="18" fillId="5" borderId="36" applyAlignment="1" pivotButton="0" quotePrefix="0" xfId="0">
      <alignment horizontal="left" vertical="center"/>
    </xf>
    <xf numFmtId="0" fontId="21" fillId="10" borderId="3" applyAlignment="1" pivotButton="0" quotePrefix="0" xfId="0">
      <alignment horizontal="left" vertical="center"/>
    </xf>
    <xf numFmtId="0" fontId="19" fillId="5" borderId="12" applyAlignment="1" pivotButton="0" quotePrefix="0" xfId="0">
      <alignment horizontal="left" vertical="center" indent="1"/>
    </xf>
    <xf numFmtId="0" fontId="19" fillId="5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left" vertical="center"/>
    </xf>
    <xf numFmtId="0" fontId="18" fillId="12" borderId="0" applyAlignment="1" pivotButton="0" quotePrefix="0" xfId="0">
      <alignment vertical="center"/>
    </xf>
    <xf numFmtId="0" fontId="22" fillId="12" borderId="0" applyAlignment="1" pivotButton="0" quotePrefix="0" xfId="0">
      <alignment vertical="center"/>
    </xf>
    <xf numFmtId="0" fontId="22" fillId="12" borderId="0" applyAlignment="1" pivotButton="0" quotePrefix="0" xfId="0">
      <alignment horizontal="left" vertical="center"/>
    </xf>
    <xf numFmtId="0" fontId="20" fillId="12" borderId="0" applyAlignment="1" pivotButton="0" quotePrefix="0" xfId="0">
      <alignment horizontal="left" vertical="center"/>
    </xf>
    <xf numFmtId="0" fontId="19" fillId="5" borderId="14" applyAlignment="1" pivotButton="0" quotePrefix="0" xfId="0">
      <alignment horizontal="left" vertical="center"/>
    </xf>
    <xf numFmtId="0" fontId="16" fillId="11" borderId="4" applyAlignment="1" pivotButton="0" quotePrefix="0" xfId="0">
      <alignment horizontal="left" vertical="center"/>
    </xf>
    <xf numFmtId="0" fontId="16" fillId="11" borderId="23" applyAlignment="1" pivotButton="0" quotePrefix="0" xfId="0">
      <alignment horizontal="left" vertical="center"/>
    </xf>
    <xf numFmtId="0" fontId="15" fillId="5" borderId="12" applyAlignment="1" pivotButton="0" quotePrefix="0" xfId="0">
      <alignment horizontal="left" vertical="center"/>
    </xf>
    <xf numFmtId="0" fontId="22" fillId="12" borderId="0" applyAlignment="1" pivotButton="0" quotePrefix="0" xfId="0">
      <alignment horizontal="left" vertical="center" indent="1"/>
    </xf>
    <xf numFmtId="0" fontId="18" fillId="5" borderId="12" applyAlignment="1" pivotButton="0" quotePrefix="0" xfId="0">
      <alignment horizontal="left" vertical="center" indent="1"/>
    </xf>
    <xf numFmtId="0" fontId="18" fillId="5" borderId="35" applyAlignment="1" pivotButton="0" quotePrefix="0" xfId="0">
      <alignment horizontal="left" vertical="center" indent="1"/>
    </xf>
    <xf numFmtId="0" fontId="18" fillId="13" borderId="12" applyAlignment="1" pivotButton="0" quotePrefix="0" xfId="0">
      <alignment horizontal="left" vertical="center" indent="1"/>
    </xf>
    <xf numFmtId="0" fontId="18" fillId="13" borderId="14" applyAlignment="1" pivotButton="0" quotePrefix="0" xfId="0">
      <alignment vertical="center"/>
    </xf>
    <xf numFmtId="0" fontId="18" fillId="13" borderId="35" applyAlignment="1" pivotButton="0" quotePrefix="0" xfId="0">
      <alignment horizontal="left" vertical="center" indent="1"/>
    </xf>
    <xf numFmtId="0" fontId="18" fillId="13" borderId="36" applyAlignment="1" pivotButton="0" quotePrefix="0" xfId="0">
      <alignment horizontal="left" vertical="center"/>
    </xf>
    <xf numFmtId="0" fontId="18" fillId="13" borderId="36" applyAlignment="1" pivotButton="0" quotePrefix="0" xfId="0">
      <alignment horizontal="center" vertical="center"/>
    </xf>
    <xf numFmtId="0" fontId="18" fillId="13" borderId="36" applyAlignment="1" pivotButton="0" quotePrefix="0" xfId="0">
      <alignment vertical="center"/>
    </xf>
    <xf numFmtId="0" fontId="18" fillId="13" borderId="33" applyAlignment="1" pivotButton="0" quotePrefix="0" xfId="0">
      <alignment vertical="center"/>
    </xf>
    <xf numFmtId="0" fontId="2" fillId="0" borderId="0" applyAlignment="1" applyProtection="1" pivotButton="0" quotePrefix="0" xfId="0">
      <alignment vertical="center"/>
      <protection locked="1" hidden="1"/>
    </xf>
    <xf numFmtId="0" fontId="26" fillId="12" borderId="0" applyAlignment="1" pivotButton="0" quotePrefix="0" xfId="0">
      <alignment horizontal="right" vertical="center"/>
    </xf>
    <xf numFmtId="164" fontId="4" fillId="0" borderId="21" applyAlignment="1" applyProtection="1" pivotButton="0" quotePrefix="0" xfId="0">
      <alignment horizontal="left" shrinkToFit="1" indent="1"/>
      <protection locked="1" hidden="1"/>
    </xf>
    <xf numFmtId="164" fontId="4" fillId="0" borderId="3" applyAlignment="1" applyProtection="1" pivotButton="0" quotePrefix="0" xfId="0">
      <alignment horizontal="left" shrinkToFit="1" indent="1"/>
      <protection locked="1" hidden="1"/>
    </xf>
    <xf numFmtId="164" fontId="4" fillId="0" borderId="22" applyAlignment="1" applyProtection="1" pivotButton="0" quotePrefix="0" xfId="0">
      <alignment horizontal="left" shrinkToFit="1" indent="1"/>
      <protection locked="1" hidden="1"/>
    </xf>
    <xf numFmtId="164" fontId="4" fillId="0" borderId="29" applyAlignment="1" applyProtection="1" pivotButton="0" quotePrefix="0" xfId="0">
      <alignment horizontal="left" shrinkToFit="1" indent="1"/>
      <protection locked="1" hidden="1"/>
    </xf>
    <xf numFmtId="164" fontId="4" fillId="0" borderId="30" applyAlignment="1" applyProtection="1" pivotButton="0" quotePrefix="0" xfId="0">
      <alignment horizontal="left" shrinkToFit="1" indent="1"/>
      <protection locked="1" hidden="1"/>
    </xf>
    <xf numFmtId="0" fontId="18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/>
    </xf>
    <xf numFmtId="0" fontId="18" fillId="5" borderId="0" applyAlignment="1" pivotButton="0" quotePrefix="0" xfId="0">
      <alignment vertical="top"/>
    </xf>
    <xf numFmtId="0" fontId="18" fillId="12" borderId="0" applyAlignment="1" pivotButton="0" quotePrefix="0" xfId="0">
      <alignment vertical="top"/>
    </xf>
    <xf numFmtId="0" fontId="19" fillId="12" borderId="0" applyAlignment="1" pivotButton="0" quotePrefix="0" xfId="0">
      <alignment horizontal="left" vertical="center" indent="1"/>
    </xf>
    <xf numFmtId="0" fontId="19" fillId="12" borderId="0" applyAlignment="1" pivotButton="0" quotePrefix="0" xfId="0">
      <alignment vertical="center"/>
    </xf>
    <xf numFmtId="0" fontId="19" fillId="12" borderId="0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27" fillId="12" borderId="0" applyAlignment="1" pivotButton="0" quotePrefix="0" xfId="0">
      <alignment horizontal="right" vertical="center"/>
    </xf>
    <xf numFmtId="0" fontId="18" fillId="0" borderId="25" applyAlignment="1" pivotButton="0" quotePrefix="0" xfId="0">
      <alignment vertical="top"/>
    </xf>
    <xf numFmtId="0" fontId="18" fillId="0" borderId="0" applyAlignment="1" pivotButton="0" quotePrefix="0" xfId="0">
      <alignment horizontal="right" vertical="top"/>
    </xf>
    <xf numFmtId="0" fontId="18" fillId="0" borderId="18" applyAlignment="1" pivotButton="0" quotePrefix="0" xfId="0">
      <alignment vertical="top"/>
    </xf>
    <xf numFmtId="0" fontId="18" fillId="0" borderId="18" applyAlignment="1" pivotButton="0" quotePrefix="0" xfId="0">
      <alignment horizontal="right" vertical="top"/>
    </xf>
    <xf numFmtId="0" fontId="15" fillId="0" borderId="25" applyAlignment="1" pivotButton="0" quotePrefix="0" xfId="0">
      <alignment vertical="top"/>
    </xf>
    <xf numFmtId="0" fontId="23" fillId="0" borderId="0" applyAlignment="1" pivotButton="0" quotePrefix="0" xfId="0">
      <alignment vertical="top"/>
    </xf>
    <xf numFmtId="0" fontId="23" fillId="14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top" wrapText="1"/>
    </xf>
    <xf numFmtId="0" fontId="19" fillId="11" borderId="3" applyAlignment="1" pivotButton="0" quotePrefix="0" xfId="0">
      <alignment vertical="top"/>
    </xf>
    <xf numFmtId="0" fontId="16" fillId="11" borderId="3" applyAlignment="1" pivotButton="0" quotePrefix="0" xfId="0">
      <alignment vertical="top"/>
    </xf>
    <xf numFmtId="0" fontId="16" fillId="11" borderId="4" applyAlignment="1" pivotButton="0" quotePrefix="0" xfId="0">
      <alignment vertical="top"/>
    </xf>
    <xf numFmtId="0" fontId="18" fillId="12" borderId="18" applyAlignment="1" pivotButton="0" quotePrefix="0" xfId="0">
      <alignment vertical="top"/>
    </xf>
    <xf numFmtId="0" fontId="28" fillId="12" borderId="0" applyAlignment="1" pivotButton="0" quotePrefix="0" xfId="0">
      <alignment horizontal="left" vertical="top" wrapText="1"/>
    </xf>
    <xf numFmtId="0" fontId="28" fillId="12" borderId="9" applyAlignment="1" pivotButton="0" quotePrefix="0" xfId="0">
      <alignment vertical="top"/>
    </xf>
    <xf numFmtId="0" fontId="28" fillId="12" borderId="10" applyAlignment="1" pivotButton="0" quotePrefix="0" xfId="0">
      <alignment horizontal="left" vertical="top" wrapText="1"/>
    </xf>
    <xf numFmtId="0" fontId="18" fillId="12" borderId="11" applyAlignment="1" pivotButton="0" quotePrefix="0" xfId="0">
      <alignment vertical="top"/>
    </xf>
    <xf numFmtId="0" fontId="28" fillId="12" borderId="12" applyAlignment="1" pivotButton="0" quotePrefix="0" xfId="0">
      <alignment vertical="top"/>
    </xf>
    <xf numFmtId="0" fontId="18" fillId="12" borderId="14" applyAlignment="1" pivotButton="0" quotePrefix="0" xfId="0">
      <alignment vertical="top"/>
    </xf>
    <xf numFmtId="0" fontId="15" fillId="12" borderId="12" applyAlignment="1" pivotButton="0" quotePrefix="0" xfId="0">
      <alignment vertical="top"/>
    </xf>
    <xf numFmtId="0" fontId="19" fillId="11" borderId="21" applyAlignment="1" pivotButton="0" quotePrefix="0" xfId="0">
      <alignment vertical="top"/>
    </xf>
    <xf numFmtId="0" fontId="18" fillId="12" borderId="64" applyAlignment="1" pivotButton="0" quotePrefix="0" xfId="0">
      <alignment vertical="top"/>
    </xf>
    <xf numFmtId="0" fontId="15" fillId="0" borderId="24" applyAlignment="1" pivotButton="0" quotePrefix="0" xfId="0">
      <alignment vertical="top"/>
    </xf>
    <xf numFmtId="0" fontId="18" fillId="0" borderId="78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8" fillId="0" borderId="14" applyAlignment="1" pivotButton="0" quotePrefix="0" xfId="0">
      <alignment vertical="top"/>
    </xf>
    <xf numFmtId="0" fontId="18" fillId="12" borderId="0" applyAlignment="1" pivotButton="0" quotePrefix="0" xfId="0">
      <alignment horizontal="left" vertical="top"/>
    </xf>
    <xf numFmtId="0" fontId="15" fillId="11" borderId="21" applyAlignment="1" pivotButton="0" quotePrefix="0" xfId="0">
      <alignment vertical="top"/>
    </xf>
    <xf numFmtId="0" fontId="28" fillId="12" borderId="35" applyAlignment="1" pivotButton="0" quotePrefix="0" xfId="0">
      <alignment vertical="top"/>
    </xf>
    <xf numFmtId="0" fontId="28" fillId="12" borderId="36" applyAlignment="1" pivotButton="0" quotePrefix="0" xfId="0">
      <alignment horizontal="left" vertical="top" wrapText="1"/>
    </xf>
    <xf numFmtId="0" fontId="18" fillId="12" borderId="33" applyAlignment="1" pivotButton="0" quotePrefix="0" xfId="0">
      <alignment vertical="top"/>
    </xf>
    <xf numFmtId="0" fontId="15" fillId="5" borderId="35" applyAlignment="1" pivotButton="0" quotePrefix="0" xfId="0">
      <alignment vertical="top"/>
    </xf>
    <xf numFmtId="0" fontId="18" fillId="5" borderId="36" applyAlignment="1" pivotButton="0" quotePrefix="0" xfId="0">
      <alignment vertical="top"/>
    </xf>
    <xf numFmtId="0" fontId="18" fillId="5" borderId="33" applyAlignment="1" pivotButton="0" quotePrefix="0" xfId="0">
      <alignment vertical="top"/>
    </xf>
    <xf numFmtId="0" fontId="18" fillId="5" borderId="14" applyAlignment="1" pivotButton="0" quotePrefix="0" xfId="0">
      <alignment vertical="top"/>
    </xf>
    <xf numFmtId="0" fontId="15" fillId="5" borderId="12" applyAlignment="1" pivotButton="0" quotePrefix="0" xfId="0">
      <alignment vertical="top"/>
    </xf>
    <xf numFmtId="0" fontId="23" fillId="5" borderId="0" applyAlignment="1" pivotButton="0" quotePrefix="0" xfId="0">
      <alignment vertical="top"/>
    </xf>
    <xf numFmtId="0" fontId="30" fillId="12" borderId="0" applyAlignment="1" pivotButton="0" quotePrefix="0" xfId="0">
      <alignment vertical="center"/>
    </xf>
    <xf numFmtId="0" fontId="18" fillId="10" borderId="23" applyAlignment="1" applyProtection="1" pivotButton="0" quotePrefix="0" xfId="0">
      <alignment horizontal="left" vertical="center" indent="1"/>
      <protection locked="0" hidden="0"/>
    </xf>
    <xf numFmtId="0" fontId="15" fillId="10" borderId="4" applyAlignment="1" applyProtection="1" pivotButton="0" quotePrefix="1" xfId="0">
      <alignment horizontal="left" vertical="center"/>
      <protection locked="0" hidden="0"/>
    </xf>
    <xf numFmtId="0" fontId="31" fillId="10" borderId="0" applyAlignment="1" pivotButton="0" quotePrefix="0" xfId="0">
      <alignment vertical="center"/>
    </xf>
    <xf numFmtId="0" fontId="11" fillId="0" borderId="80" applyAlignment="1" applyProtection="1" pivotButton="0" quotePrefix="0" xfId="0">
      <alignment horizontal="center" vertical="center"/>
      <protection locked="1" hidden="1"/>
    </xf>
    <xf numFmtId="1" fontId="11" fillId="0" borderId="55" applyAlignment="1" applyProtection="1" pivotButton="0" quotePrefix="0" xfId="0">
      <alignment horizontal="center" vertical="center"/>
      <protection locked="1" hidden="1"/>
    </xf>
    <xf numFmtId="0" fontId="11" fillId="0" borderId="81" applyAlignment="1" applyProtection="1" pivotButton="0" quotePrefix="0" xfId="0">
      <alignment horizontal="center" vertical="center"/>
      <protection locked="1" hidden="1"/>
    </xf>
    <xf numFmtId="0" fontId="11" fillId="0" borderId="43" applyAlignment="1" applyProtection="1" pivotButton="0" quotePrefix="0" xfId="0">
      <alignment horizontal="center" vertical="center"/>
      <protection locked="1" hidden="1"/>
    </xf>
    <xf numFmtId="0" fontId="10" fillId="0" borderId="61" applyAlignment="1" applyProtection="1" pivotButton="0" quotePrefix="0" xfId="0">
      <alignment horizontal="center" vertical="center"/>
      <protection locked="0" hidden="0"/>
    </xf>
    <xf numFmtId="0" fontId="10" fillId="0" borderId="32" applyAlignment="1" applyProtection="1" pivotButton="0" quotePrefix="0" xfId="0">
      <alignment horizontal="center" vertical="center"/>
      <protection locked="0" hidden="0"/>
    </xf>
    <xf numFmtId="1" fontId="10" fillId="0" borderId="60" applyAlignment="1" applyProtection="1" pivotButton="0" quotePrefix="0" xfId="0">
      <alignment horizontal="center" vertical="center"/>
      <protection locked="1" hidden="1"/>
    </xf>
    <xf numFmtId="2" fontId="11" fillId="0" borderId="60" applyAlignment="1" applyProtection="1" pivotButton="0" quotePrefix="0" xfId="0">
      <alignment horizontal="center" vertical="center"/>
      <protection locked="1" hidden="1"/>
    </xf>
    <xf numFmtId="2" fontId="11" fillId="5" borderId="42" applyAlignment="1" applyProtection="1" pivotButton="0" quotePrefix="0" xfId="0">
      <alignment horizontal="center" vertical="center"/>
      <protection locked="1" hidden="1"/>
    </xf>
    <xf numFmtId="2" fontId="11" fillId="0" borderId="59" applyAlignment="1" applyProtection="1" pivotButton="0" quotePrefix="0" xfId="0">
      <alignment horizontal="center" vertical="center"/>
      <protection locked="1" hidden="1"/>
    </xf>
    <xf numFmtId="1" fontId="11" fillId="0" borderId="60" applyAlignment="1" applyProtection="1" pivotButton="0" quotePrefix="0" xfId="0">
      <alignment horizontal="center" vertical="center"/>
      <protection locked="1" hidden="1"/>
    </xf>
    <xf numFmtId="0" fontId="32" fillId="12" borderId="0" applyAlignment="1" pivotButton="0" quotePrefix="0" xfId="0">
      <alignment vertical="center"/>
    </xf>
    <xf numFmtId="0" fontId="18" fillId="0" borderId="0" applyAlignment="1" pivotButton="0" quotePrefix="0" xfId="0">
      <alignment vertical="top" wrapText="1"/>
    </xf>
    <xf numFmtId="0" fontId="34" fillId="0" borderId="0" applyAlignment="1" pivotButton="0" quotePrefix="0" xfId="0">
      <alignment horizontal="right" vertical="center"/>
    </xf>
    <xf numFmtId="0" fontId="31" fillId="0" borderId="0" applyAlignment="1" pivotButton="0" quotePrefix="0" xfId="0">
      <alignment vertical="center"/>
    </xf>
    <xf numFmtId="0" fontId="35" fillId="4" borderId="26" applyAlignment="1" pivotButton="0" quotePrefix="0" xfId="0">
      <alignment horizontal="center" vertical="center" wrapText="1"/>
    </xf>
    <xf numFmtId="0" fontId="35" fillId="4" borderId="0" applyAlignment="1" pivotButton="0" quotePrefix="0" xfId="0">
      <alignment horizontal="center" vertical="center" wrapText="1"/>
    </xf>
    <xf numFmtId="0" fontId="35" fillId="11" borderId="0" applyAlignment="1" pivotButton="0" quotePrefix="0" xfId="0">
      <alignment vertical="center" wrapText="1"/>
    </xf>
    <xf numFmtId="0" fontId="35" fillId="11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37" fillId="7" borderId="0" applyAlignment="1" pivotButton="0" quotePrefix="0" xfId="0">
      <alignment horizontal="center" vertical="center" wrapText="1"/>
    </xf>
    <xf numFmtId="0" fontId="37" fillId="6" borderId="0" applyAlignment="1" pivotButton="0" quotePrefix="0" xfId="0">
      <alignment horizontal="center" vertical="center" wrapText="1"/>
    </xf>
    <xf numFmtId="0" fontId="37" fillId="8" borderId="0" applyAlignment="1" pivotButton="0" quotePrefix="0" xfId="0">
      <alignment horizontal="center" vertical="center" wrapText="1"/>
    </xf>
    <xf numFmtId="0" fontId="37" fillId="3" borderId="2" applyAlignment="1" pivotButton="0" quotePrefix="0" xfId="0">
      <alignment horizontal="center" vertical="center"/>
    </xf>
    <xf numFmtId="0" fontId="37" fillId="3" borderId="3" applyAlignment="1" pivotButton="0" quotePrefix="0" xfId="0">
      <alignment horizontal="center" vertical="center"/>
    </xf>
    <xf numFmtId="0" fontId="37" fillId="3" borderId="4" applyAlignment="1" pivotButton="0" quotePrefix="0" xfId="0">
      <alignment horizontal="center" vertical="center"/>
    </xf>
    <xf numFmtId="0" fontId="37" fillId="3" borderId="23" applyAlignment="1" pivotButton="0" quotePrefix="0" xfId="0">
      <alignment horizontal="center" vertical="center"/>
    </xf>
    <xf numFmtId="0" fontId="37" fillId="6" borderId="0" applyAlignment="1" pivotButton="0" quotePrefix="0" xfId="0">
      <alignment horizontal="center" vertical="center"/>
    </xf>
    <xf numFmtId="0" fontId="38" fillId="15" borderId="0" applyAlignment="1" pivotButton="0" quotePrefix="0" xfId="0">
      <alignment vertical="center"/>
    </xf>
    <xf numFmtId="0" fontId="38" fillId="15" borderId="0" applyAlignment="1" pivotButton="0" quotePrefix="0" xfId="0">
      <alignment horizontal="center" vertical="center"/>
    </xf>
    <xf numFmtId="0" fontId="36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/>
    </xf>
    <xf numFmtId="0" fontId="36" fillId="0" borderId="86" applyAlignment="1" pivotButton="0" quotePrefix="0" xfId="0">
      <alignment vertical="center"/>
    </xf>
    <xf numFmtId="0" fontId="36" fillId="0" borderId="87" applyAlignment="1" pivotButton="0" quotePrefix="0" xfId="0">
      <alignment vertical="center"/>
    </xf>
    <xf numFmtId="0" fontId="36" fillId="0" borderId="88" applyAlignment="1" pivotButton="0" quotePrefix="0" xfId="0">
      <alignment horizontal="center" vertical="center"/>
    </xf>
    <xf numFmtId="0" fontId="36" fillId="0" borderId="34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6" fillId="0" borderId="13" applyAlignment="1" pivotButton="0" quotePrefix="0" xfId="0">
      <alignment horizontal="center" vertical="center"/>
    </xf>
    <xf numFmtId="0" fontId="38" fillId="15" borderId="0" applyAlignment="1" pivotButton="0" quotePrefix="1" xfId="0">
      <alignment vertical="center"/>
    </xf>
    <xf numFmtId="0" fontId="36" fillId="0" borderId="0" applyAlignment="1" pivotButton="0" quotePrefix="0" xfId="0">
      <alignment horizontal="left" vertical="center"/>
    </xf>
    <xf numFmtId="0" fontId="36" fillId="0" borderId="51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0" fontId="36" fillId="0" borderId="19" applyAlignment="1" pivotButton="0" quotePrefix="0" xfId="0">
      <alignment horizontal="center" vertical="center"/>
    </xf>
    <xf numFmtId="0" fontId="36" fillId="0" borderId="20" applyAlignment="1" pivotButton="0" quotePrefix="0" xfId="0">
      <alignment horizontal="center" vertical="center"/>
    </xf>
    <xf numFmtId="0" fontId="35" fillId="17" borderId="9" applyAlignment="1" pivotButton="0" quotePrefix="0" xfId="0">
      <alignment vertical="center" wrapText="1"/>
    </xf>
    <xf numFmtId="0" fontId="35" fillId="17" borderId="10" applyAlignment="1" pivotButton="0" quotePrefix="0" xfId="0">
      <alignment horizontal="center" vertical="center" wrapText="1"/>
    </xf>
    <xf numFmtId="0" fontId="35" fillId="17" borderId="11" applyAlignment="1" pivotButton="0" quotePrefix="0" xfId="0">
      <alignment horizontal="center" vertical="center" wrapText="1"/>
    </xf>
    <xf numFmtId="0" fontId="36" fillId="0" borderId="92" applyAlignment="1" pivotButton="0" quotePrefix="0" xfId="0">
      <alignment vertical="center"/>
    </xf>
    <xf numFmtId="0" fontId="36" fillId="0" borderId="93" applyAlignment="1" pivotButton="0" quotePrefix="0" xfId="0">
      <alignment vertical="center"/>
    </xf>
    <xf numFmtId="0" fontId="36" fillId="0" borderId="94" applyAlignment="1" pivotButton="0" quotePrefix="0" xfId="0">
      <alignment vertical="center"/>
    </xf>
    <xf numFmtId="0" fontId="36" fillId="0" borderId="95" applyAlignment="1" pivotButton="0" quotePrefix="0" xfId="0">
      <alignment vertical="center"/>
    </xf>
    <xf numFmtId="0" fontId="36" fillId="0" borderId="96" applyAlignment="1" pivotButton="0" quotePrefix="0" xfId="0">
      <alignment vertical="center"/>
    </xf>
    <xf numFmtId="0" fontId="36" fillId="0" borderId="97" applyAlignment="1" pivotButton="0" quotePrefix="0" xfId="0">
      <alignment vertical="center"/>
    </xf>
    <xf numFmtId="0" fontId="36" fillId="0" borderId="98" applyAlignment="1" pivotButton="0" quotePrefix="0" xfId="0">
      <alignment vertical="center"/>
    </xf>
    <xf numFmtId="0" fontId="36" fillId="0" borderId="99" applyAlignment="1" pivotButton="0" quotePrefix="0" xfId="0">
      <alignment vertical="center"/>
    </xf>
    <xf numFmtId="0" fontId="36" fillId="0" borderId="100" applyAlignment="1" pivotButton="0" quotePrefix="0" xfId="0">
      <alignment vertical="center"/>
    </xf>
    <xf numFmtId="0" fontId="35" fillId="17" borderId="101" applyAlignment="1" pivotButton="0" quotePrefix="0" xfId="0">
      <alignment horizontal="left" vertical="center"/>
    </xf>
    <xf numFmtId="0" fontId="36" fillId="0" borderId="47" applyAlignment="1" pivotButton="0" quotePrefix="0" xfId="0">
      <alignment horizontal="left" vertical="center"/>
    </xf>
    <xf numFmtId="0" fontId="35" fillId="17" borderId="56" applyAlignment="1" pivotButton="0" quotePrefix="0" xfId="0">
      <alignment horizontal="left" vertical="center"/>
    </xf>
    <xf numFmtId="0" fontId="36" fillId="0" borderId="82" applyAlignment="1" pivotButton="0" quotePrefix="0" xfId="0">
      <alignment horizontal="left" vertical="center"/>
    </xf>
    <xf numFmtId="0" fontId="35" fillId="17" borderId="85" applyAlignment="1" pivotButton="0" quotePrefix="0" xfId="0">
      <alignment horizontal="center" vertical="center" wrapText="1"/>
    </xf>
    <xf numFmtId="0" fontId="35" fillId="17" borderId="83" applyAlignment="1" pivotButton="0" quotePrefix="0" xfId="0">
      <alignment horizontal="center" vertical="center"/>
    </xf>
    <xf numFmtId="0" fontId="35" fillId="17" borderId="84" applyAlignment="1" pivotButton="0" quotePrefix="0" xfId="0">
      <alignment horizontal="center" vertical="center" wrapText="1"/>
    </xf>
    <xf numFmtId="0" fontId="35" fillId="17" borderId="101" applyAlignment="1" pivotButton="0" quotePrefix="0" xfId="0">
      <alignment vertical="center"/>
    </xf>
    <xf numFmtId="0" fontId="36" fillId="16" borderId="47" applyAlignment="1" pivotButton="0" quotePrefix="0" xfId="0">
      <alignment vertical="center"/>
    </xf>
    <xf numFmtId="0" fontId="36" fillId="16" borderId="82" applyAlignment="1" pivotButton="0" quotePrefix="0" xfId="0">
      <alignment vertical="center"/>
    </xf>
    <xf numFmtId="0" fontId="36" fillId="14" borderId="88" applyAlignment="1" pivotButton="0" quotePrefix="0" xfId="0">
      <alignment horizontal="center" vertical="center"/>
    </xf>
    <xf numFmtId="0" fontId="36" fillId="14" borderId="91" applyAlignment="1" pivotButton="0" quotePrefix="0" xfId="0">
      <alignment horizontal="center" vertical="center"/>
    </xf>
    <xf numFmtId="0" fontId="36" fillId="14" borderId="86" applyAlignment="1" pivotButton="0" quotePrefix="0" xfId="0">
      <alignment vertical="center"/>
    </xf>
    <xf numFmtId="0" fontId="36" fillId="14" borderId="87" applyAlignment="1" pivotButton="0" quotePrefix="0" xfId="0">
      <alignment vertical="center"/>
    </xf>
    <xf numFmtId="0" fontId="36" fillId="14" borderId="89" applyAlignment="1" pivotButton="0" quotePrefix="0" xfId="0">
      <alignment vertical="center"/>
    </xf>
    <xf numFmtId="0" fontId="36" fillId="14" borderId="90" applyAlignment="1" pivotButton="0" quotePrefix="0" xfId="0">
      <alignment vertical="center"/>
    </xf>
    <xf numFmtId="0" fontId="36" fillId="14" borderId="87" applyAlignment="1" pivotButton="0" quotePrefix="0" xfId="0">
      <alignment vertical="center" wrapText="1"/>
    </xf>
    <xf numFmtId="0" fontId="21" fillId="10" borderId="104" applyAlignment="1" pivotButton="0" quotePrefix="0" xfId="0">
      <alignment horizontal="left" vertical="center"/>
    </xf>
    <xf numFmtId="165" fontId="43" fillId="0" borderId="0" applyAlignment="1" pivotButton="0" quotePrefix="0" xfId="0">
      <alignment horizontal="right" vertical="top"/>
    </xf>
    <xf numFmtId="0" fontId="33" fillId="0" borderId="0" applyAlignment="1" pivotButton="0" quotePrefix="0" xfId="0">
      <alignment vertical="top"/>
    </xf>
    <xf numFmtId="0" fontId="15" fillId="18" borderId="12" applyAlignment="1" pivotButton="0" quotePrefix="0" xfId="0">
      <alignment vertical="top"/>
    </xf>
    <xf numFmtId="0" fontId="18" fillId="18" borderId="0" applyAlignment="1" pivotButton="0" quotePrefix="0" xfId="0">
      <alignment vertical="top"/>
    </xf>
    <xf numFmtId="0" fontId="18" fillId="18" borderId="14" applyAlignment="1" pivotButton="0" quotePrefix="0" xfId="0">
      <alignment vertical="top"/>
    </xf>
    <xf numFmtId="0" fontId="15" fillId="18" borderId="0" applyAlignment="1" pivotButton="0" quotePrefix="0" xfId="0">
      <alignment vertical="top"/>
    </xf>
    <xf numFmtId="0" fontId="15" fillId="18" borderId="24" applyAlignment="1" pivotButton="0" quotePrefix="0" xfId="0">
      <alignment vertical="top"/>
    </xf>
    <xf numFmtId="0" fontId="18" fillId="18" borderId="25" applyAlignment="1" pivotButton="0" quotePrefix="0" xfId="0">
      <alignment vertical="top"/>
    </xf>
    <xf numFmtId="0" fontId="18" fillId="18" borderId="78" applyAlignment="1" pivotButton="0" quotePrefix="0" xfId="0">
      <alignment vertical="top"/>
    </xf>
    <xf numFmtId="0" fontId="15" fillId="9" borderId="12" applyAlignment="1" pivotButton="0" quotePrefix="0" xfId="0">
      <alignment vertical="top"/>
    </xf>
    <xf numFmtId="0" fontId="18" fillId="16" borderId="0" applyAlignment="1" pivotButton="0" quotePrefix="0" xfId="0">
      <alignment vertical="top"/>
    </xf>
    <xf numFmtId="0" fontId="18" fillId="21" borderId="0" applyAlignment="1" pivotButton="0" quotePrefix="0" xfId="0">
      <alignment vertical="top"/>
    </xf>
    <xf numFmtId="0" fontId="24" fillId="5" borderId="0" applyAlignment="1" pivotButton="0" quotePrefix="0" xfId="0">
      <alignment horizontal="right" vertical="top"/>
    </xf>
    <xf numFmtId="0" fontId="45" fillId="0" borderId="0" applyAlignment="1" pivotButton="0" quotePrefix="0" xfId="0">
      <alignment horizontal="right" vertical="center" indent="1"/>
    </xf>
    <xf numFmtId="0" fontId="46" fillId="5" borderId="0" applyAlignment="1" pivotButton="0" quotePrefix="0" xfId="0">
      <alignment horizontal="right" vertical="center"/>
    </xf>
    <xf numFmtId="0" fontId="15" fillId="18" borderId="35" applyAlignment="1" pivotButton="0" quotePrefix="0" xfId="0">
      <alignment vertical="top"/>
    </xf>
    <xf numFmtId="0" fontId="18" fillId="18" borderId="36" applyAlignment="1" pivotButton="0" quotePrefix="0" xfId="0">
      <alignment vertical="top"/>
    </xf>
    <xf numFmtId="0" fontId="18" fillId="18" borderId="33" applyAlignment="1" pivotButton="0" quotePrefix="0" xfId="0">
      <alignment vertical="top"/>
    </xf>
    <xf numFmtId="0" fontId="11" fillId="0" borderId="44" applyAlignment="1" applyProtection="1" pivotButton="0" quotePrefix="0" xfId="0">
      <alignment horizontal="center" vertical="center" shrinkToFit="1"/>
      <protection locked="0" hidden="0"/>
    </xf>
    <xf numFmtId="0" fontId="11" fillId="0" borderId="13" applyAlignment="1" applyProtection="1" pivotButton="0" quotePrefix="0" xfId="0">
      <alignment horizontal="center" vertical="center" shrinkToFit="1"/>
      <protection locked="0" hidden="0"/>
    </xf>
    <xf numFmtId="164" fontId="7" fillId="0" borderId="0" applyAlignment="1" applyProtection="1" pivotButton="0" quotePrefix="0" xfId="0">
      <alignment horizontal="center" vertical="center"/>
      <protection locked="1" hidden="1"/>
    </xf>
    <xf numFmtId="0" fontId="11" fillId="0" borderId="54" applyAlignment="1" applyProtection="1" pivotButton="0" quotePrefix="0" xfId="0">
      <alignment horizontal="center" vertical="center" shrinkToFit="1"/>
      <protection locked="0" hidden="0"/>
    </xf>
    <xf numFmtId="0" fontId="13" fillId="0" borderId="109" applyAlignment="1" applyProtection="1" pivotButton="0" quotePrefix="0" xfId="0">
      <alignment horizontal="center" vertical="center"/>
      <protection locked="0" hidden="0"/>
    </xf>
    <xf numFmtId="0" fontId="13" fillId="0" borderId="110" applyAlignment="1" applyProtection="1" pivotButton="0" quotePrefix="0" xfId="0">
      <alignment horizontal="center" vertical="center"/>
      <protection locked="0" hidden="0"/>
    </xf>
    <xf numFmtId="0" fontId="4" fillId="0" borderId="23" applyAlignment="1" applyProtection="1" pivotButton="0" quotePrefix="0" xfId="0">
      <alignment horizontal="center" vertical="center"/>
      <protection locked="1" hidden="1"/>
    </xf>
    <xf numFmtId="0" fontId="13" fillId="0" borderId="3" applyAlignment="1" applyProtection="1" pivotButton="0" quotePrefix="0" xfId="0">
      <alignment horizontal="center" vertical="center"/>
      <protection locked="0" hidden="0"/>
    </xf>
    <xf numFmtId="0" fontId="13" fillId="0" borderId="30" applyAlignment="1" applyProtection="1" pivotButton="0" quotePrefix="0" xfId="0">
      <alignment horizontal="center" vertical="center"/>
      <protection locked="0" hidden="0"/>
    </xf>
    <xf numFmtId="2" fontId="11" fillId="0" borderId="14" applyAlignment="1" applyProtection="1" pivotButton="0" quotePrefix="0" xfId="0">
      <alignment horizontal="center" vertical="center"/>
      <protection locked="1" hidden="1"/>
    </xf>
    <xf numFmtId="2" fontId="11" fillId="0" borderId="22" applyAlignment="1" applyProtection="1" pivotButton="0" quotePrefix="0" xfId="0">
      <alignment horizontal="center" vertical="center"/>
      <protection locked="1" hidden="1"/>
    </xf>
    <xf numFmtId="0" fontId="11" fillId="0" borderId="23" applyAlignment="1" applyProtection="1" pivotButton="0" quotePrefix="0" xfId="0">
      <alignment horizontal="center" vertical="center" shrinkToFit="1"/>
      <protection locked="0" hidden="0"/>
    </xf>
    <xf numFmtId="0" fontId="13" fillId="0" borderId="18" applyAlignment="1" applyProtection="1" pivotButton="0" quotePrefix="0" xfId="0">
      <alignment horizontal="center" vertical="center"/>
      <protection locked="0" hidden="0"/>
    </xf>
    <xf numFmtId="1" fontId="11" fillId="0" borderId="22" applyAlignment="1" applyProtection="1" pivotButton="0" quotePrefix="0" xfId="0">
      <alignment horizontal="center" vertical="center"/>
      <protection locked="1" hidden="1"/>
    </xf>
    <xf numFmtId="0" fontId="15" fillId="10" borderId="3" applyAlignment="1" applyProtection="1" pivotButton="0" quotePrefix="0" xfId="0">
      <alignment horizontal="left" vertical="center" wrapText="1"/>
      <protection locked="0" hidden="0"/>
    </xf>
    <xf numFmtId="1" fontId="3" fillId="0" borderId="0" applyAlignment="1" applyProtection="1" pivotButton="0" quotePrefix="0" xfId="0">
      <alignment horizontal="center" vertical="center"/>
      <protection locked="1" hidden="1"/>
    </xf>
    <xf numFmtId="164" fontId="2" fillId="0" borderId="0" applyAlignment="1" applyProtection="1" pivotButton="0" quotePrefix="0" xfId="0">
      <alignment vertical="center"/>
      <protection locked="1" hidden="1"/>
    </xf>
    <xf numFmtId="0" fontId="15" fillId="10" borderId="3" applyAlignment="1" applyProtection="1" pivotButton="0" quotePrefix="0" xfId="0">
      <alignment vertical="center"/>
      <protection locked="0" hidden="0"/>
    </xf>
    <xf numFmtId="0" fontId="15" fillId="10" borderId="4" applyAlignment="1" applyProtection="1" pivotButton="0" quotePrefix="0" xfId="0">
      <alignment vertical="center"/>
      <protection locked="0" hidden="0"/>
    </xf>
    <xf numFmtId="0" fontId="15" fillId="10" borderId="3" applyAlignment="1" applyProtection="1" pivotButton="0" quotePrefix="0" xfId="0">
      <alignment vertical="center" wrapText="1"/>
      <protection locked="0" hidden="0"/>
    </xf>
    <xf numFmtId="0" fontId="15" fillId="10" borderId="105" applyAlignment="1" applyProtection="1" pivotButton="0" quotePrefix="0" xfId="0">
      <alignment vertical="center" wrapText="1"/>
      <protection locked="0" hidden="0"/>
    </xf>
    <xf numFmtId="0" fontId="4" fillId="0" borderId="26" applyAlignment="1" applyProtection="1" pivotButton="0" quotePrefix="0" xfId="0">
      <alignment horizontal="center" vertical="center"/>
      <protection locked="1" hidden="1"/>
    </xf>
    <xf numFmtId="0" fontId="4" fillId="0" borderId="20" applyAlignment="1" applyProtection="1" pivotButton="0" quotePrefix="0" xfId="0">
      <alignment horizontal="center" vertical="center"/>
      <protection locked="1" hidden="1"/>
    </xf>
    <xf numFmtId="0" fontId="13" fillId="0" borderId="32" applyAlignment="1" applyProtection="1" pivotButton="0" quotePrefix="0" xfId="0">
      <alignment horizontal="center" vertical="center"/>
      <protection locked="0" hidden="0"/>
    </xf>
    <xf numFmtId="0" fontId="11" fillId="0" borderId="32" applyAlignment="1" applyProtection="1" pivotButton="0" quotePrefix="0" xfId="0">
      <alignment horizontal="center" vertical="center" shrinkToFit="1"/>
      <protection locked="0" hidden="0"/>
    </xf>
    <xf numFmtId="1" fontId="11" fillId="0" borderId="31" applyAlignment="1" applyProtection="1" pivotButton="0" quotePrefix="0" xfId="0">
      <alignment horizontal="center" vertical="center"/>
      <protection locked="1" hidden="1"/>
    </xf>
    <xf numFmtId="0" fontId="13" fillId="0" borderId="63" applyAlignment="1" applyProtection="1" pivotButton="0" quotePrefix="0" xfId="0">
      <alignment horizontal="center" vertical="center"/>
      <protection locked="0" hidden="0"/>
    </xf>
    <xf numFmtId="0" fontId="47" fillId="7" borderId="108" applyAlignment="1" pivotButton="0" quotePrefix="0" xfId="0">
      <alignment horizontal="center" vertical="center"/>
    </xf>
    <xf numFmtId="0" fontId="47" fillId="6" borderId="108" applyAlignment="1" pivotButton="0" quotePrefix="0" xfId="0">
      <alignment horizontal="center" vertical="center"/>
    </xf>
    <xf numFmtId="164" fontId="7" fillId="0" borderId="40" applyAlignment="1" applyProtection="1" pivotButton="0" quotePrefix="0" xfId="0">
      <alignment horizontal="center"/>
      <protection locked="1" hidden="1"/>
    </xf>
    <xf numFmtId="2" fontId="3" fillId="0" borderId="23" applyAlignment="1" applyProtection="1" pivotButton="0" quotePrefix="0" xfId="0">
      <alignment horizontal="center"/>
      <protection locked="0" hidden="0"/>
    </xf>
    <xf numFmtId="0" fontId="4" fillId="0" borderId="23" applyAlignment="1" applyProtection="1" pivotButton="0" quotePrefix="0" xfId="0">
      <alignment horizontal="center"/>
      <protection locked="0" hidden="0"/>
    </xf>
    <xf numFmtId="1" fontId="3" fillId="0" borderId="23" applyAlignment="1" applyProtection="1" pivotButton="0" quotePrefix="0" xfId="0">
      <alignment horizontal="center"/>
      <protection locked="0" hidden="0"/>
    </xf>
    <xf numFmtId="0" fontId="4" fillId="0" borderId="23" applyProtection="1" pivotButton="0" quotePrefix="0" xfId="0">
      <protection locked="0" hidden="0"/>
    </xf>
    <xf numFmtId="0" fontId="3" fillId="0" borderId="23" applyAlignment="1" applyProtection="1" pivotButton="0" quotePrefix="0" xfId="0">
      <alignment shrinkToFit="1"/>
      <protection locked="0" hidden="0"/>
    </xf>
    <xf numFmtId="0" fontId="3" fillId="0" borderId="23" applyProtection="1" pivotButton="0" quotePrefix="0" xfId="0">
      <protection locked="0" hidden="0"/>
    </xf>
    <xf numFmtId="0" fontId="11" fillId="0" borderId="23" applyAlignment="1" pivotButton="0" quotePrefix="0" xfId="0">
      <alignment horizontal="center" vertical="center" shrinkToFit="1"/>
    </xf>
    <xf numFmtId="0" fontId="11" fillId="0" borderId="32" applyAlignment="1" pivotButton="0" quotePrefix="0" xfId="0">
      <alignment horizontal="center" vertical="center" shrinkToFit="1"/>
    </xf>
    <xf numFmtId="164" fontId="7" fillId="0" borderId="3" applyAlignment="1" applyProtection="1" pivotButton="0" quotePrefix="0" xfId="0">
      <alignment horizontal="center" vertical="center"/>
      <protection locked="1" hidden="1"/>
    </xf>
    <xf numFmtId="164" fontId="7" fillId="0" borderId="3" applyAlignment="1" applyProtection="1" pivotButton="0" quotePrefix="0" xfId="0">
      <alignment horizontal="left" vertical="center"/>
      <protection locked="1" hidden="1"/>
    </xf>
    <xf numFmtId="164" fontId="7" fillId="0" borderId="40" applyAlignment="1" applyProtection="1" pivotButton="0" quotePrefix="0" xfId="0">
      <alignment horizontal="left" vertical="center"/>
      <protection locked="1" hidden="1"/>
    </xf>
    <xf numFmtId="2" fontId="3" fillId="0" borderId="4" applyAlignment="1" applyProtection="1" pivotButton="0" quotePrefix="0" xfId="0">
      <alignment horizontal="center"/>
      <protection locked="0" hidden="0"/>
    </xf>
    <xf numFmtId="164" fontId="7" fillId="0" borderId="24" applyAlignment="1" applyProtection="1" pivotButton="0" quotePrefix="0" xfId="0">
      <alignment horizontal="centerContinuous" vertical="center"/>
      <protection locked="1" hidden="1"/>
    </xf>
    <xf numFmtId="164" fontId="7" fillId="0" borderId="25" applyAlignment="1" applyProtection="1" pivotButton="0" quotePrefix="0" xfId="0">
      <alignment horizontal="centerContinuous" vertical="center"/>
      <protection locked="1" hidden="1"/>
    </xf>
    <xf numFmtId="164" fontId="7" fillId="0" borderId="25" applyAlignment="1" applyProtection="1" pivotButton="0" quotePrefix="0" xfId="0">
      <alignment horizontal="center" vertical="center"/>
      <protection locked="1" hidden="1"/>
    </xf>
    <xf numFmtId="164" fontId="7" fillId="0" borderId="78" applyAlignment="1" applyProtection="1" pivotButton="0" quotePrefix="0" xfId="0">
      <alignment horizontal="centerContinuous" vertical="center"/>
      <protection locked="1" hidden="1"/>
    </xf>
    <xf numFmtId="164" fontId="7" fillId="0" borderId="25" applyAlignment="1" applyProtection="1" pivotButton="0" quotePrefix="0" xfId="0">
      <alignment horizontal="left" vertical="center"/>
      <protection locked="1" hidden="1"/>
    </xf>
    <xf numFmtId="164" fontId="4" fillId="0" borderId="17" applyAlignment="1" applyProtection="1" pivotButton="0" quotePrefix="0" xfId="0">
      <alignment horizontal="left" shrinkToFit="1" indent="1"/>
      <protection locked="1" hidden="1"/>
    </xf>
    <xf numFmtId="164" fontId="4" fillId="0" borderId="18" applyAlignment="1" applyProtection="1" pivotButton="0" quotePrefix="0" xfId="0">
      <alignment horizontal="left" shrinkToFit="1" indent="1"/>
      <protection locked="1" hidden="1"/>
    </xf>
    <xf numFmtId="164" fontId="4" fillId="0" borderId="64" applyAlignment="1" applyProtection="1" pivotButton="0" quotePrefix="0" xfId="0">
      <alignment horizontal="left" shrinkToFit="1" indent="1"/>
      <protection locked="1" hidden="1"/>
    </xf>
    <xf numFmtId="164" fontId="7" fillId="0" borderId="18" applyAlignment="1" applyProtection="1" pivotButton="0" quotePrefix="0" xfId="0">
      <alignment horizontal="center" vertical="center"/>
      <protection locked="1" hidden="1"/>
    </xf>
    <xf numFmtId="164" fontId="7" fillId="0" borderId="18" applyAlignment="1" applyProtection="1" pivotButton="0" quotePrefix="0" xfId="0">
      <alignment horizontal="left" vertical="center"/>
      <protection locked="1" hidden="1"/>
    </xf>
    <xf numFmtId="0" fontId="16" fillId="0" borderId="0" applyProtection="1" pivotButton="0" quotePrefix="0" xfId="0">
      <protection locked="0" hidden="0"/>
    </xf>
    <xf numFmtId="0" fontId="19" fillId="0" borderId="0" applyAlignment="1" applyProtection="1" pivotButton="0" quotePrefix="0" xfId="0">
      <alignment horizontal="center"/>
      <protection locked="0" hidden="0"/>
    </xf>
    <xf numFmtId="0" fontId="19" fillId="0" borderId="0" applyAlignment="1" applyProtection="1" pivotButton="0" quotePrefix="0" xfId="0">
      <alignment shrinkToFit="1"/>
      <protection locked="0" hidden="0"/>
    </xf>
    <xf numFmtId="164" fontId="16" fillId="0" borderId="34" applyProtection="1" pivotButton="0" quotePrefix="0" xfId="0">
      <protection locked="0" hidden="0"/>
    </xf>
    <xf numFmtId="0" fontId="16" fillId="0" borderId="34" applyProtection="1" pivotButton="0" quotePrefix="0" xfId="0">
      <protection locked="0" hidden="0"/>
    </xf>
    <xf numFmtId="0" fontId="16" fillId="0" borderId="0" applyAlignment="1" applyProtection="1" pivotButton="0" quotePrefix="0" xfId="0">
      <alignment horizontal="center"/>
      <protection locked="0" hidden="0"/>
    </xf>
    <xf numFmtId="164" fontId="4" fillId="0" borderId="7" applyAlignment="1" applyProtection="1" pivotButton="0" quotePrefix="0" xfId="0">
      <alignment vertical="center" wrapText="1"/>
      <protection locked="1" hidden="1"/>
    </xf>
    <xf numFmtId="0" fontId="2" fillId="0" borderId="0" applyAlignment="1" applyProtection="1" pivotButton="0" quotePrefix="0" xfId="0">
      <alignment vertical="center" shrinkToFit="1"/>
      <protection locked="1" hidden="1"/>
    </xf>
    <xf numFmtId="164" fontId="4" fillId="0" borderId="0" applyAlignment="1" applyProtection="1" pivotButton="0" quotePrefix="0" xfId="0">
      <alignment vertical="center" wrapText="1"/>
      <protection locked="1" hidden="1"/>
    </xf>
    <xf numFmtId="164" fontId="4" fillId="0" borderId="36" applyAlignment="1" applyProtection="1" pivotButton="0" quotePrefix="0" xfId="0">
      <alignment vertical="center"/>
      <protection locked="1" hidden="1"/>
    </xf>
    <xf numFmtId="0" fontId="3" fillId="0" borderId="6" applyAlignment="1" applyProtection="1" pivotButton="0" quotePrefix="0" xfId="0">
      <alignment vertical="center"/>
      <protection locked="1" hidden="1"/>
    </xf>
    <xf numFmtId="0" fontId="3" fillId="0" borderId="7" applyAlignment="1" applyProtection="1" pivotButton="0" quotePrefix="0" xfId="0">
      <alignment vertical="center"/>
      <protection locked="1" hidden="1"/>
    </xf>
    <xf numFmtId="0" fontId="2" fillId="0" borderId="0" applyAlignment="1" applyProtection="1" pivotButton="0" quotePrefix="0" xfId="0">
      <alignment vertical="center"/>
      <protection locked="0" hidden="0"/>
    </xf>
    <xf numFmtId="164" fontId="2" fillId="0" borderId="0" applyAlignment="1" applyProtection="1" pivotButton="0" quotePrefix="0" xfId="0">
      <alignment vertical="center" shrinkToFit="1"/>
      <protection locked="1" hidden="1"/>
    </xf>
    <xf numFmtId="164" fontId="16" fillId="0" borderId="34" pivotButton="0" quotePrefix="0" xfId="0"/>
    <xf numFmtId="2" fontId="48" fillId="0" borderId="115" applyAlignment="1" pivotButton="0" quotePrefix="0" xfId="0">
      <alignment horizontal="center"/>
    </xf>
    <xf numFmtId="2" fontId="48" fillId="0" borderId="55" applyAlignment="1" pivotButton="0" quotePrefix="0" xfId="0">
      <alignment horizontal="center"/>
    </xf>
    <xf numFmtId="2" fontId="48" fillId="0" borderId="60" applyAlignment="1" pivotButton="0" quotePrefix="0" xfId="0">
      <alignment horizontal="center"/>
    </xf>
    <xf numFmtId="2" fontId="48" fillId="0" borderId="116" applyAlignment="1" pivotButton="0" quotePrefix="0" xfId="0">
      <alignment horizontal="center"/>
    </xf>
    <xf numFmtId="2" fontId="3" fillId="0" borderId="101" applyAlignment="1" applyProtection="1" pivotButton="0" quotePrefix="0" xfId="0">
      <alignment horizontal="center" vertical="center" wrapText="1"/>
      <protection locked="0" hidden="0"/>
    </xf>
    <xf numFmtId="2" fontId="48" fillId="0" borderId="56" applyAlignment="1" pivotButton="0" quotePrefix="0" xfId="0">
      <alignment horizontal="center"/>
    </xf>
    <xf numFmtId="2" fontId="3" fillId="0" borderId="50" applyAlignment="1" applyProtection="1" pivotButton="0" quotePrefix="0" xfId="0">
      <alignment horizontal="center"/>
      <protection locked="0" hidden="0"/>
    </xf>
    <xf numFmtId="0" fontId="4" fillId="0" borderId="26" applyAlignment="1" applyProtection="1" pivotButton="0" quotePrefix="0" xfId="0">
      <alignment horizontal="center"/>
      <protection locked="0" hidden="0"/>
    </xf>
    <xf numFmtId="2" fontId="3" fillId="0" borderId="19" applyAlignment="1" applyProtection="1" pivotButton="0" quotePrefix="0" xfId="0">
      <alignment horizontal="center"/>
      <protection locked="0" hidden="0"/>
    </xf>
    <xf numFmtId="0" fontId="4" fillId="0" borderId="20" applyAlignment="1" applyProtection="1" pivotButton="0" quotePrefix="0" xfId="0">
      <alignment horizontal="center"/>
      <protection locked="0" hidden="0"/>
    </xf>
    <xf numFmtId="164" fontId="4" fillId="0" borderId="118" applyAlignment="1" applyProtection="1" pivotButton="0" quotePrefix="0" xfId="0">
      <alignment horizontal="left" shrinkToFit="1" indent="1"/>
      <protection locked="1" hidden="1"/>
    </xf>
    <xf numFmtId="164" fontId="4" fillId="0" borderId="117" applyAlignment="1" applyProtection="1" pivotButton="0" quotePrefix="0" xfId="0">
      <alignment horizontal="left" shrinkToFit="1" indent="1"/>
      <protection locked="1" hidden="1"/>
    </xf>
    <xf numFmtId="164" fontId="7" fillId="0" borderId="30" applyAlignment="1" applyProtection="1" pivotButton="0" quotePrefix="0" xfId="0">
      <alignment horizontal="center" vertical="center"/>
      <protection locked="1" hidden="1"/>
    </xf>
    <xf numFmtId="164" fontId="7" fillId="0" borderId="30" applyAlignment="1" applyProtection="1" pivotButton="0" quotePrefix="0" xfId="0">
      <alignment horizontal="left" vertical="center"/>
      <protection locked="1" hidden="1"/>
    </xf>
    <xf numFmtId="0" fontId="21" fillId="10" borderId="18" applyAlignment="1" pivotButton="0" quotePrefix="0" xfId="0">
      <alignment vertical="center"/>
    </xf>
    <xf numFmtId="0" fontId="21" fillId="10" borderId="102" applyAlignment="1" pivotButton="0" quotePrefix="0" xfId="0">
      <alignment vertical="center"/>
    </xf>
    <xf numFmtId="0" fontId="21" fillId="10" borderId="0" applyAlignment="1" pivotButton="0" quotePrefix="0" xfId="0">
      <alignment horizontal="center" vertical="center"/>
    </xf>
    <xf numFmtId="0" fontId="21" fillId="10" borderId="2" applyAlignment="1" pivotButton="0" quotePrefix="0" xfId="0">
      <alignment vertical="center"/>
    </xf>
    <xf numFmtId="0" fontId="21" fillId="10" borderId="3" applyAlignment="1" pivotButton="0" quotePrefix="0" xfId="0">
      <alignment vertical="center"/>
    </xf>
    <xf numFmtId="0" fontId="50" fillId="0" borderId="0" applyAlignment="1" pivotButton="0" quotePrefix="0" xfId="3">
      <alignment horizontal="left" vertical="center"/>
    </xf>
    <xf numFmtId="0" fontId="50" fillId="0" borderId="0" applyAlignment="1" pivotButton="0" quotePrefix="0" xfId="3">
      <alignment vertical="top"/>
    </xf>
    <xf numFmtId="0" fontId="52" fillId="0" borderId="0" applyAlignment="1" pivotButton="0" quotePrefix="0" xfId="0">
      <alignment vertical="center"/>
    </xf>
    <xf numFmtId="0" fontId="53" fillId="0" borderId="0" applyAlignment="1" pivotButton="0" quotePrefix="1" xfId="0">
      <alignment vertical="center"/>
    </xf>
    <xf numFmtId="0" fontId="54" fillId="10" borderId="105" applyAlignment="1" applyProtection="1" pivotButton="0" quotePrefix="0" xfId="0">
      <alignment vertical="center" wrapText="1"/>
      <protection locked="0" hidden="0"/>
    </xf>
    <xf numFmtId="2" fontId="11" fillId="0" borderId="119" applyAlignment="1" applyProtection="1" pivotButton="0" quotePrefix="0" xfId="0">
      <alignment horizontal="center" vertical="center"/>
      <protection locked="1" hidden="1"/>
    </xf>
    <xf numFmtId="2" fontId="11" fillId="0" borderId="120" applyAlignment="1" applyProtection="1" pivotButton="0" quotePrefix="0" xfId="0">
      <alignment horizontal="center" vertical="center"/>
      <protection locked="1" hidden="1"/>
    </xf>
    <xf numFmtId="1" fontId="10" fillId="10" borderId="55" applyAlignment="1" applyProtection="1" pivotButton="0" quotePrefix="0" xfId="0">
      <alignment horizontal="center" vertical="center"/>
      <protection locked="1" hidden="1"/>
    </xf>
    <xf numFmtId="0" fontId="11" fillId="0" borderId="20" applyAlignment="1" applyProtection="1" pivotButton="0" quotePrefix="0" xfId="0">
      <alignment horizontal="center" vertical="center" shrinkToFit="1"/>
      <protection locked="0" hidden="0"/>
    </xf>
    <xf numFmtId="0" fontId="3" fillId="0" borderId="8" applyAlignment="1" applyProtection="1" pivotButton="0" quotePrefix="0" xfId="0">
      <alignment horizontal="center" vertical="center"/>
      <protection locked="1" hidden="1"/>
    </xf>
    <xf numFmtId="0" fontId="3" fillId="0" borderId="121" applyAlignment="1" applyProtection="1" pivotButton="0" quotePrefix="0" xfId="0">
      <alignment horizontal="center" vertical="center"/>
      <protection locked="1" hidden="1"/>
    </xf>
    <xf numFmtId="0" fontId="3" fillId="0" borderId="5" applyAlignment="1" applyProtection="1" pivotButton="0" quotePrefix="0" xfId="0">
      <alignment horizontal="center" vertical="center"/>
      <protection locked="1" hidden="1"/>
    </xf>
    <xf numFmtId="0" fontId="4" fillId="0" borderId="0" applyAlignment="1" applyProtection="1" pivotButton="0" quotePrefix="0" xfId="0">
      <alignment horizontal="center" vertical="center"/>
      <protection locked="0" hidden="1"/>
    </xf>
    <xf numFmtId="0" fontId="15" fillId="10" borderId="3" applyAlignment="1" applyProtection="1" pivotButton="0" quotePrefix="0" xfId="0">
      <alignment horizontal="left" vertical="center" wrapText="1"/>
      <protection locked="0" hidden="0"/>
    </xf>
    <xf numFmtId="0" fontId="15" fillId="10" borderId="4" applyAlignment="1" applyProtection="1" pivotButton="0" quotePrefix="0" xfId="0">
      <alignment horizontal="left" vertical="center" wrapText="1"/>
      <protection locked="0" hidden="0"/>
    </xf>
    <xf numFmtId="0" fontId="19" fillId="11" borderId="9" applyAlignment="1" pivotButton="0" quotePrefix="0" xfId="0">
      <alignment horizontal="left" vertical="center" indent="1"/>
    </xf>
    <xf numFmtId="0" fontId="19" fillId="11" borderId="10" applyAlignment="1" pivotButton="0" quotePrefix="0" xfId="0">
      <alignment horizontal="left" vertical="center" indent="1"/>
    </xf>
    <xf numFmtId="0" fontId="19" fillId="11" borderId="11" applyAlignment="1" pivotButton="0" quotePrefix="0" xfId="0">
      <alignment horizontal="left" vertical="center" indent="1"/>
    </xf>
    <xf numFmtId="0" fontId="19" fillId="11" borderId="12" applyAlignment="1" pivotButton="0" quotePrefix="0" xfId="0">
      <alignment horizontal="left" vertical="center" indent="1"/>
    </xf>
    <xf numFmtId="0" fontId="19" fillId="11" borderId="0" applyAlignment="1" pivotButton="0" quotePrefix="0" xfId="0">
      <alignment horizontal="left" vertical="center" indent="1"/>
    </xf>
    <xf numFmtId="0" fontId="19" fillId="11" borderId="14" applyAlignment="1" pivotButton="0" quotePrefix="0" xfId="0">
      <alignment horizontal="left" vertical="center" indent="1"/>
    </xf>
    <xf numFmtId="0" fontId="21" fillId="10" borderId="25" applyAlignment="1" pivotButton="0" quotePrefix="0" xfId="0">
      <alignment horizontal="center" vertical="center"/>
    </xf>
    <xf numFmtId="0" fontId="21" fillId="10" borderId="18" applyAlignment="1" pivotButton="0" quotePrefix="0" xfId="0">
      <alignment horizontal="center" vertical="center"/>
    </xf>
    <xf numFmtId="0" fontId="21" fillId="10" borderId="2" applyAlignment="1" pivotButton="0" quotePrefix="0" xfId="0">
      <alignment horizontal="left" vertical="center" indent="1"/>
    </xf>
    <xf numFmtId="0" fontId="21" fillId="10" borderId="3" applyAlignment="1" pivotButton="0" quotePrefix="0" xfId="0">
      <alignment horizontal="left" vertical="center" indent="1"/>
    </xf>
    <xf numFmtId="0" fontId="15" fillId="10" borderId="3" applyAlignment="1" applyProtection="1" pivotButton="0" quotePrefix="0" xfId="0">
      <alignment horizontal="left" vertical="center"/>
      <protection locked="0" hidden="0"/>
    </xf>
    <xf numFmtId="0" fontId="15" fillId="10" borderId="4" applyAlignment="1" applyProtection="1" pivotButton="0" quotePrefix="0" xfId="0">
      <alignment horizontal="left" vertical="center"/>
      <protection locked="0" hidden="0"/>
    </xf>
    <xf numFmtId="0" fontId="21" fillId="10" borderId="49" applyAlignment="1" pivotButton="0" quotePrefix="0" xfId="0">
      <alignment horizontal="left" vertical="center" indent="1"/>
    </xf>
    <xf numFmtId="0" fontId="21" fillId="10" borderId="25" applyAlignment="1" pivotButton="0" quotePrefix="0" xfId="0">
      <alignment horizontal="left" vertical="center" indent="1"/>
    </xf>
    <xf numFmtId="0" fontId="21" fillId="10" borderId="51" applyAlignment="1" pivotButton="0" quotePrefix="0" xfId="0">
      <alignment horizontal="left" vertical="center" indent="1"/>
    </xf>
    <xf numFmtId="0" fontId="21" fillId="10" borderId="18" applyAlignment="1" pivotButton="0" quotePrefix="0" xfId="0">
      <alignment horizontal="left" vertical="center" indent="1"/>
    </xf>
    <xf numFmtId="0" fontId="15" fillId="10" borderId="25" applyAlignment="1" applyProtection="1" pivotButton="0" quotePrefix="0" xfId="0">
      <alignment horizontal="left" vertical="center"/>
      <protection locked="0" hidden="0"/>
    </xf>
    <xf numFmtId="0" fontId="15" fillId="10" borderId="50" applyAlignment="1" applyProtection="1" pivotButton="0" quotePrefix="0" xfId="0">
      <alignment horizontal="left" vertical="center"/>
      <protection locked="0" hidden="0"/>
    </xf>
    <xf numFmtId="0" fontId="15" fillId="10" borderId="18" applyAlignment="1" applyProtection="1" pivotButton="0" quotePrefix="0" xfId="0">
      <alignment horizontal="left" vertical="center"/>
      <protection locked="0" hidden="0"/>
    </xf>
    <xf numFmtId="0" fontId="15" fillId="10" borderId="19" applyAlignment="1" applyProtection="1" pivotButton="0" quotePrefix="0" xfId="0">
      <alignment horizontal="left" vertical="center"/>
      <protection locked="0" hidden="0"/>
    </xf>
    <xf numFmtId="0" fontId="21" fillId="10" borderId="106" applyAlignment="1" pivotButton="0" quotePrefix="0" xfId="0">
      <alignment horizontal="left" vertical="center"/>
    </xf>
    <xf numFmtId="0" fontId="21" fillId="10" borderId="25" applyAlignment="1" pivotButton="0" quotePrefix="0" xfId="0">
      <alignment horizontal="left" vertical="center"/>
    </xf>
    <xf numFmtId="0" fontId="21" fillId="10" borderId="102" applyAlignment="1" pivotButton="0" quotePrefix="0" xfId="0">
      <alignment horizontal="left" vertical="center"/>
    </xf>
    <xf numFmtId="0" fontId="21" fillId="10" borderId="18" applyAlignment="1" pivotButton="0" quotePrefix="0" xfId="0">
      <alignment horizontal="left" vertical="center"/>
    </xf>
    <xf numFmtId="0" fontId="15" fillId="10" borderId="25" applyAlignment="1" applyProtection="1" pivotButton="0" quotePrefix="0" xfId="0">
      <alignment horizontal="left" vertical="center" wrapText="1"/>
      <protection locked="0" hidden="0"/>
    </xf>
    <xf numFmtId="0" fontId="15" fillId="10" borderId="107" applyAlignment="1" applyProtection="1" pivotButton="0" quotePrefix="0" xfId="0">
      <alignment horizontal="left" vertical="center" wrapText="1"/>
      <protection locked="0" hidden="0"/>
    </xf>
    <xf numFmtId="0" fontId="15" fillId="10" borderId="18" applyAlignment="1" applyProtection="1" pivotButton="0" quotePrefix="0" xfId="0">
      <alignment horizontal="left" vertical="center" wrapText="1"/>
      <protection locked="0" hidden="0"/>
    </xf>
    <xf numFmtId="0" fontId="15" fillId="10" borderId="103" applyAlignment="1" applyProtection="1" pivotButton="0" quotePrefix="0" xfId="0">
      <alignment horizontal="left" vertical="center" wrapText="1"/>
      <protection locked="0" hidden="0"/>
    </xf>
    <xf numFmtId="0" fontId="21" fillId="10" borderId="104" applyAlignment="1" pivotButton="0" quotePrefix="0" xfId="0">
      <alignment horizontal="left" vertical="center"/>
    </xf>
    <xf numFmtId="0" fontId="21" fillId="10" borderId="3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50" fillId="0" borderId="25" applyAlignment="1" pivotButton="0" quotePrefix="0" xfId="3">
      <alignment horizontal="center" vertical="center"/>
    </xf>
    <xf numFmtId="0" fontId="51" fillId="0" borderId="25" applyAlignment="1" pivotButton="0" quotePrefix="0" xfId="0">
      <alignment horizontal="center" vertical="center"/>
    </xf>
    <xf numFmtId="0" fontId="41" fillId="5" borderId="49" applyAlignment="1" pivotButton="0" quotePrefix="0" xfId="0">
      <alignment horizontal="left" vertical="center" wrapText="1"/>
    </xf>
    <xf numFmtId="0" fontId="41" fillId="5" borderId="25" applyAlignment="1" pivotButton="0" quotePrefix="0" xfId="0">
      <alignment horizontal="left" vertical="center" wrapText="1"/>
    </xf>
    <xf numFmtId="0" fontId="41" fillId="5" borderId="51" applyAlignment="1" pivotButton="0" quotePrefix="0" xfId="0">
      <alignment horizontal="left" vertical="center" wrapText="1"/>
    </xf>
    <xf numFmtId="0" fontId="41" fillId="5" borderId="18" applyAlignment="1" pivotButton="0" quotePrefix="0" xfId="0">
      <alignment horizontal="left" vertical="center" wrapText="1"/>
    </xf>
    <xf numFmtId="0" fontId="42" fillId="5" borderId="25" applyAlignment="1" pivotButton="0" quotePrefix="0" xfId="0">
      <alignment horizontal="center" vertical="center"/>
    </xf>
    <xf numFmtId="0" fontId="42" fillId="5" borderId="18" applyAlignment="1" pivotButton="0" quotePrefix="0" xfId="0">
      <alignment horizontal="center" vertical="center"/>
    </xf>
    <xf numFmtId="0" fontId="42" fillId="5" borderId="25" applyAlignment="1" applyProtection="1" pivotButton="0" quotePrefix="0" xfId="0">
      <alignment horizontal="left" vertical="center" wrapText="1"/>
      <protection locked="0" hidden="0"/>
    </xf>
    <xf numFmtId="0" fontId="42" fillId="5" borderId="50" applyAlignment="1" applyProtection="1" pivotButton="0" quotePrefix="0" xfId="0">
      <alignment horizontal="left" vertical="center" wrapText="1"/>
      <protection locked="0" hidden="0"/>
    </xf>
    <xf numFmtId="0" fontId="42" fillId="5" borderId="18" applyAlignment="1" applyProtection="1" pivotButton="0" quotePrefix="0" xfId="0">
      <alignment horizontal="left" vertical="center" wrapText="1"/>
      <protection locked="0" hidden="0"/>
    </xf>
    <xf numFmtId="0" fontId="42" fillId="5" borderId="19" applyAlignment="1" applyProtection="1" pivotButton="0" quotePrefix="0" xfId="0">
      <alignment horizontal="left" vertical="center" wrapText="1"/>
      <protection locked="0" hidden="0"/>
    </xf>
    <xf numFmtId="0" fontId="49" fillId="13" borderId="0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28" fillId="12" borderId="10" applyAlignment="1" pivotButton="0" quotePrefix="0" xfId="0">
      <alignment horizontal="left" vertical="top" wrapText="1"/>
    </xf>
    <xf numFmtId="0" fontId="28" fillId="12" borderId="36" applyAlignment="1" pivotButton="0" quotePrefix="0" xfId="0">
      <alignment horizontal="left" vertical="top" wrapText="1"/>
    </xf>
    <xf numFmtId="0" fontId="23" fillId="5" borderId="0" applyAlignment="1" pivotButton="0" quotePrefix="0" xfId="0">
      <alignment horizontal="left" vertical="center" wrapText="1"/>
    </xf>
    <xf numFmtId="0" fontId="29" fillId="0" borderId="26" applyAlignment="1" pivotButton="0" quotePrefix="0" xfId="0">
      <alignment horizontal="center" vertical="center" wrapText="1"/>
    </xf>
    <xf numFmtId="0" fontId="15" fillId="0" borderId="23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9" fontId="18" fillId="0" borderId="23" applyAlignment="1" pivotButton="0" quotePrefix="0" xfId="1">
      <alignment horizontal="center" vertical="center"/>
    </xf>
    <xf numFmtId="0" fontId="44" fillId="19" borderId="108" applyAlignment="1" pivotButton="0" quotePrefix="0" xfId="0">
      <alignment horizontal="center" vertical="center"/>
    </xf>
    <xf numFmtId="0" fontId="44" fillId="20" borderId="108" applyAlignment="1" pivotButton="0" quotePrefix="0" xfId="0">
      <alignment horizontal="center" vertical="center"/>
    </xf>
    <xf numFmtId="0" fontId="44" fillId="0" borderId="112" applyAlignment="1" pivotButton="0" quotePrefix="0" xfId="0">
      <alignment horizontal="center" vertical="center"/>
    </xf>
    <xf numFmtId="0" fontId="44" fillId="0" borderId="113" applyAlignment="1" pivotButton="0" quotePrefix="0" xfId="0">
      <alignment horizontal="center" vertical="center"/>
    </xf>
    <xf numFmtId="0" fontId="44" fillId="0" borderId="114" applyAlignment="1" pivotButton="0" quotePrefix="0" xfId="0">
      <alignment horizontal="center" vertical="center"/>
    </xf>
    <xf numFmtId="0" fontId="16" fillId="4" borderId="69" applyAlignment="1" pivotButton="0" quotePrefix="0" xfId="0">
      <alignment horizontal="center" vertical="center" wrapText="1"/>
    </xf>
    <xf numFmtId="0" fontId="16" fillId="4" borderId="74" applyAlignment="1" pivotButton="0" quotePrefix="0" xfId="0">
      <alignment horizontal="center" vertical="center" wrapText="1"/>
    </xf>
    <xf numFmtId="0" fontId="16" fillId="4" borderId="65" applyAlignment="1" pivotButton="0" quotePrefix="0" xfId="0">
      <alignment horizontal="left" vertical="center" wrapText="1"/>
    </xf>
    <xf numFmtId="0" fontId="16" fillId="4" borderId="66" applyAlignment="1" pivotButton="0" quotePrefix="0" xfId="0">
      <alignment horizontal="left" vertical="center" wrapText="1"/>
    </xf>
    <xf numFmtId="0" fontId="16" fillId="4" borderId="67" applyAlignment="1" pivotButton="0" quotePrefix="0" xfId="0">
      <alignment horizontal="left" vertical="center" wrapText="1"/>
    </xf>
    <xf numFmtId="0" fontId="16" fillId="4" borderId="70" applyAlignment="1" pivotButton="0" quotePrefix="0" xfId="0">
      <alignment horizontal="left" vertical="center" wrapText="1"/>
    </xf>
    <xf numFmtId="0" fontId="16" fillId="4" borderId="71" applyAlignment="1" pivotButton="0" quotePrefix="0" xfId="0">
      <alignment horizontal="left" vertical="center" wrapText="1"/>
    </xf>
    <xf numFmtId="0" fontId="16" fillId="4" borderId="72" applyAlignment="1" pivotButton="0" quotePrefix="0" xfId="0">
      <alignment horizontal="left" vertical="center" wrapText="1"/>
    </xf>
    <xf numFmtId="0" fontId="16" fillId="4" borderId="75" applyAlignment="1" pivotButton="0" quotePrefix="0" xfId="0">
      <alignment horizontal="left" vertical="center" wrapText="1"/>
    </xf>
    <xf numFmtId="0" fontId="16" fillId="4" borderId="76" applyAlignment="1" pivotButton="0" quotePrefix="0" xfId="0">
      <alignment horizontal="left" vertical="center" wrapText="1"/>
    </xf>
    <xf numFmtId="0" fontId="25" fillId="0" borderId="68" applyAlignment="1" pivotButton="0" quotePrefix="0" xfId="0">
      <alignment horizontal="center" vertical="center"/>
    </xf>
    <xf numFmtId="0" fontId="25" fillId="0" borderId="73" applyAlignment="1" pivotButton="0" quotePrefix="0" xfId="0">
      <alignment horizontal="center" vertical="center"/>
    </xf>
    <xf numFmtId="0" fontId="28" fillId="12" borderId="0" applyAlignment="1" pivotButton="0" quotePrefix="0" xfId="0">
      <alignment horizontal="left" vertical="top" wrapText="1"/>
    </xf>
    <xf numFmtId="0" fontId="43" fillId="0" borderId="0" applyAlignment="1" pivotButton="0" quotePrefix="0" xfId="0">
      <alignment horizontal="left" vertical="top" wrapText="1"/>
    </xf>
    <xf numFmtId="9" fontId="15" fillId="0" borderId="23" applyAlignment="1" pivotButton="0" quotePrefix="0" xfId="1">
      <alignment horizontal="center" vertical="center"/>
    </xf>
    <xf numFmtId="0" fontId="23" fillId="14" borderId="0" applyAlignment="1" pivotButton="0" quotePrefix="0" xfId="0">
      <alignment horizontal="left" vertical="top" wrapText="1"/>
    </xf>
    <xf numFmtId="0" fontId="18" fillId="0" borderId="2" applyAlignment="1" pivotButton="0" quotePrefix="0" xfId="0">
      <alignment horizontal="left" vertical="top" indent="1"/>
    </xf>
    <xf numFmtId="0" fontId="18" fillId="0" borderId="3" applyAlignment="1" pivotButton="0" quotePrefix="0" xfId="0">
      <alignment horizontal="left" vertical="top" indent="1"/>
    </xf>
    <xf numFmtId="0" fontId="18" fillId="0" borderId="4" applyAlignment="1" pivotButton="0" quotePrefix="0" xfId="0">
      <alignment horizontal="left" vertical="top" indent="1"/>
    </xf>
    <xf numFmtId="0" fontId="18" fillId="0" borderId="0" applyAlignment="1" pivotButton="0" quotePrefix="0" xfId="0">
      <alignment horizontal="left" vertical="top" wrapText="1"/>
    </xf>
    <xf numFmtId="9" fontId="18" fillId="10" borderId="23" applyAlignment="1" pivotButton="0" quotePrefix="0" xfId="1">
      <alignment horizontal="center" vertical="center"/>
    </xf>
    <xf numFmtId="164" fontId="10" fillId="0" borderId="23" applyAlignment="1" applyProtection="1" pivotButton="0" quotePrefix="0" xfId="0">
      <alignment horizontal="left" vertical="center" shrinkToFit="1"/>
      <protection locked="1" hidden="1"/>
    </xf>
    <xf numFmtId="164" fontId="10" fillId="0" borderId="2" applyAlignment="1" applyProtection="1" pivotButton="0" quotePrefix="0" xfId="0">
      <alignment horizontal="left" vertical="center" shrinkToFit="1"/>
      <protection locked="1" hidden="1"/>
    </xf>
    <xf numFmtId="164" fontId="10" fillId="0" borderId="32" applyAlignment="1" applyProtection="1" pivotButton="0" quotePrefix="0" xfId="0">
      <alignment horizontal="left" vertical="center" shrinkToFit="1"/>
      <protection locked="1" hidden="1"/>
    </xf>
    <xf numFmtId="164" fontId="10" fillId="0" borderId="62" applyAlignment="1" applyProtection="1" pivotButton="0" quotePrefix="0" xfId="0">
      <alignment horizontal="left" vertical="center" shrinkToFit="1"/>
      <protection locked="1" hidden="1"/>
    </xf>
    <xf numFmtId="0" fontId="11" fillId="2" borderId="12" applyAlignment="1" applyProtection="1" pivotButton="0" quotePrefix="0" xfId="0">
      <alignment horizontal="left" vertical="center" shrinkToFit="1"/>
      <protection locked="1" hidden="1"/>
    </xf>
    <xf numFmtId="0" fontId="11" fillId="2" borderId="0" applyAlignment="1" applyProtection="1" pivotButton="0" quotePrefix="0" xfId="0">
      <alignment horizontal="left" vertical="center" shrinkToFit="1"/>
      <protection locked="1" hidden="1"/>
    </xf>
    <xf numFmtId="0" fontId="11" fillId="2" borderId="14" applyAlignment="1" applyProtection="1" pivotButton="0" quotePrefix="0" xfId="0">
      <alignment horizontal="left" vertical="center" shrinkToFit="1"/>
      <protection locked="1" hidden="1"/>
    </xf>
    <xf numFmtId="0" fontId="3" fillId="0" borderId="0" applyAlignment="1" applyProtection="1" pivotButton="0" quotePrefix="0" xfId="0">
      <alignment horizontal="left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vertical="center" shrinkToFit="1"/>
      <protection locked="1" hidden="1"/>
    </xf>
    <xf numFmtId="2" fontId="11" fillId="0" borderId="47" applyAlignment="1" applyProtection="1" pivotButton="0" quotePrefix="0" xfId="0">
      <alignment horizontal="center" vertical="center" wrapText="1"/>
      <protection locked="1" hidden="1"/>
    </xf>
    <xf numFmtId="2" fontId="11" fillId="0" borderId="82" applyAlignment="1" applyProtection="1" pivotButton="0" quotePrefix="0" xfId="0">
      <alignment horizontal="center" vertical="center" wrapText="1"/>
      <protection locked="1" hidden="1"/>
    </xf>
    <xf numFmtId="0" fontId="3" fillId="0" borderId="12" applyAlignment="1" applyProtection="1" pivotButton="0" quotePrefix="0" xfId="0">
      <alignment horizontal="right" vertical="center" shrinkToFit="1"/>
      <protection locked="1" hidden="1"/>
    </xf>
    <xf numFmtId="0" fontId="3" fillId="0" borderId="0" applyAlignment="1" applyProtection="1" pivotButton="0" quotePrefix="0" xfId="0">
      <alignment horizontal="right" vertical="center" shrinkToFit="1"/>
      <protection locked="1" hidden="1"/>
    </xf>
    <xf numFmtId="0" fontId="2" fillId="0" borderId="35" applyAlignment="1" applyProtection="1" pivotButton="0" quotePrefix="0" xfId="0">
      <alignment horizontal="center" vertical="center" wrapText="1"/>
      <protection locked="1" hidden="1"/>
    </xf>
    <xf numFmtId="0" fontId="2" fillId="0" borderId="36" applyAlignment="1" applyProtection="1" pivotButton="0" quotePrefix="0" xfId="0">
      <alignment horizontal="center" vertical="center" wrapText="1"/>
      <protection locked="1" hidden="1"/>
    </xf>
    <xf numFmtId="0" fontId="2" fillId="0" borderId="6" applyAlignment="1" applyProtection="1" pivotButton="0" quotePrefix="0" xfId="0">
      <alignment horizontal="center" vertical="center" wrapText="1"/>
      <protection locked="1" hidden="1"/>
    </xf>
    <xf numFmtId="0" fontId="2" fillId="0" borderId="7" applyAlignment="1" applyProtection="1" pivotButton="0" quotePrefix="0" xfId="0">
      <alignment horizontal="center" vertical="center" wrapText="1"/>
      <protection locked="1" hidden="1"/>
    </xf>
    <xf numFmtId="0" fontId="2" fillId="0" borderId="53" applyAlignment="1" applyProtection="1" pivotButton="0" quotePrefix="0" xfId="0">
      <alignment horizontal="center" vertical="center" wrapText="1"/>
      <protection locked="1" hidden="1"/>
    </xf>
    <xf numFmtId="0" fontId="2" fillId="0" borderId="52" applyAlignment="1" applyProtection="1" pivotButton="0" quotePrefix="0" xfId="0">
      <alignment horizontal="center" vertical="center" wrapText="1"/>
      <protection locked="1" hidden="1"/>
    </xf>
    <xf numFmtId="0" fontId="2" fillId="0" borderId="54" applyAlignment="1" applyProtection="1" pivotButton="0" quotePrefix="0" xfId="0">
      <alignment horizontal="center" vertical="center" wrapText="1"/>
      <protection locked="1" hidden="1"/>
    </xf>
    <xf numFmtId="0" fontId="2" fillId="0" borderId="0" applyAlignment="1" applyProtection="1" pivotButton="0" quotePrefix="0" xfId="0">
      <alignment horizontal="center" vertical="center" wrapText="1"/>
      <protection locked="1" hidden="1"/>
    </xf>
    <xf numFmtId="2" fontId="3" fillId="0" borderId="38" applyAlignment="1" applyProtection="1" pivotButton="0" quotePrefix="0" xfId="0">
      <alignment horizontal="center" vertical="center" wrapText="1"/>
      <protection locked="1" hidden="1"/>
    </xf>
    <xf numFmtId="0" fontId="3" fillId="2" borderId="6" applyAlignment="1" applyProtection="1" pivotButton="0" quotePrefix="0" xfId="0">
      <alignment horizontal="left" vertical="center" shrinkToFit="1"/>
      <protection locked="1" hidden="1"/>
    </xf>
    <xf numFmtId="0" fontId="3" fillId="2" borderId="7" applyAlignment="1" applyProtection="1" pivotButton="0" quotePrefix="0" xfId="0">
      <alignment horizontal="left" vertical="center" shrinkToFit="1"/>
      <protection locked="1" hidden="1"/>
    </xf>
    <xf numFmtId="0" fontId="3" fillId="2" borderId="8" applyAlignment="1" applyProtection="1" pivotButton="0" quotePrefix="0" xfId="0">
      <alignment horizontal="left" vertical="center" shrinkToFit="1"/>
      <protection locked="1" hidden="1"/>
    </xf>
    <xf numFmtId="0" fontId="2" fillId="0" borderId="9" applyAlignment="1" applyProtection="1" pivotButton="0" quotePrefix="0" xfId="0">
      <alignment horizontal="center" vertical="center"/>
      <protection locked="1" hidden="1"/>
    </xf>
    <xf numFmtId="0" fontId="2" fillId="0" borderId="10" applyAlignment="1" applyProtection="1" pivotButton="0" quotePrefix="0" xfId="0">
      <alignment horizontal="center" vertical="center"/>
      <protection locked="1" hidden="1"/>
    </xf>
    <xf numFmtId="0" fontId="2" fillId="0" borderId="79" applyAlignment="1" applyProtection="1" pivotButton="0" quotePrefix="0" xfId="0">
      <alignment horizontal="center" vertical="center"/>
      <protection locked="1" hidden="1"/>
    </xf>
    <xf numFmtId="0" fontId="2" fillId="0" borderId="35" applyAlignment="1" applyProtection="1" pivotButton="0" quotePrefix="0" xfId="0">
      <alignment horizontal="center" vertical="center"/>
      <protection locked="1" hidden="1"/>
    </xf>
    <xf numFmtId="0" fontId="2" fillId="0" borderId="36" applyAlignment="1" applyProtection="1" pivotButton="0" quotePrefix="0" xfId="0">
      <alignment horizontal="center" vertical="center"/>
      <protection locked="1" hidden="1"/>
    </xf>
    <xf numFmtId="0" fontId="2" fillId="0" borderId="52" applyAlignment="1" applyProtection="1" pivotButton="0" quotePrefix="0" xfId="0">
      <alignment horizontal="center" vertical="center"/>
      <protection locked="1" hidden="1"/>
    </xf>
    <xf numFmtId="0" fontId="9" fillId="0" borderId="0" applyAlignment="1" applyProtection="1" pivotButton="0" quotePrefix="0" xfId="0">
      <alignment horizontal="center" vertical="center" wrapText="1"/>
      <protection locked="1" hidden="1"/>
    </xf>
    <xf numFmtId="0" fontId="6" fillId="0" borderId="0" applyAlignment="1" applyProtection="1" pivotButton="0" quotePrefix="0" xfId="0">
      <alignment horizontal="center" vertical="center" wrapText="1"/>
      <protection locked="1" hidden="1"/>
    </xf>
    <xf numFmtId="164" fontId="7" fillId="0" borderId="6" applyAlignment="1" applyProtection="1" pivotButton="0" quotePrefix="0" xfId="0">
      <alignment vertical="center" shrinkToFit="1"/>
      <protection locked="1" hidden="1"/>
    </xf>
    <xf numFmtId="164" fontId="7" fillId="0" borderId="7" applyAlignment="1" applyProtection="1" pivotButton="0" quotePrefix="0" xfId="0">
      <alignment vertical="center" shrinkToFit="1"/>
      <protection locked="1" hidden="1"/>
    </xf>
    <xf numFmtId="164" fontId="7" fillId="0" borderId="8" applyAlignment="1" applyProtection="1" pivotButton="0" quotePrefix="0" xfId="0">
      <alignment vertical="center" shrinkToFit="1"/>
      <protection locked="1" hidden="1"/>
    </xf>
    <xf numFmtId="164" fontId="7" fillId="0" borderId="27" applyAlignment="1" applyProtection="1" pivotButton="0" quotePrefix="0" xfId="0">
      <alignment horizontal="left" vertical="center" shrinkToFit="1"/>
      <protection locked="1" hidden="1"/>
    </xf>
    <xf numFmtId="164" fontId="7" fillId="0" borderId="15" applyAlignment="1" applyProtection="1" pivotButton="0" quotePrefix="0" xfId="0">
      <alignment horizontal="left" vertical="center" shrinkToFit="1"/>
      <protection locked="1" hidden="1"/>
    </xf>
    <xf numFmtId="164" fontId="7" fillId="0" borderId="16" applyAlignment="1" applyProtection="1" pivotButton="0" quotePrefix="0" xfId="0">
      <alignment horizontal="left" vertical="center" shrinkToFit="1"/>
      <protection locked="1" hidden="1"/>
    </xf>
    <xf numFmtId="0" fontId="3" fillId="0" borderId="77" applyAlignment="1" applyProtection="1" pivotButton="0" quotePrefix="0" xfId="0">
      <alignment horizontal="center" vertical="center" wrapText="1"/>
      <protection locked="1" hidden="1"/>
    </xf>
    <xf numFmtId="0" fontId="3" fillId="0" borderId="10" applyAlignment="1" applyProtection="1" pivotButton="0" quotePrefix="0" xfId="0">
      <alignment horizontal="center" vertical="center" wrapText="1"/>
      <protection locked="1" hidden="1"/>
    </xf>
    <xf numFmtId="0" fontId="3" fillId="0" borderId="53" applyAlignment="1" applyProtection="1" pivotButton="0" quotePrefix="0" xfId="0">
      <alignment horizontal="center" vertical="center" wrapText="1"/>
      <protection locked="1" hidden="1"/>
    </xf>
    <xf numFmtId="0" fontId="3" fillId="0" borderId="36" applyAlignment="1" applyProtection="1" pivotButton="0" quotePrefix="0" xfId="0">
      <alignment horizontal="center" vertical="center" wrapText="1"/>
      <protection locked="1" hidden="1"/>
    </xf>
    <xf numFmtId="164" fontId="3" fillId="0" borderId="6" applyAlignment="1" applyProtection="1" pivotButton="0" quotePrefix="0" xfId="0">
      <alignment horizontal="right" wrapText="1"/>
      <protection locked="1" hidden="1"/>
    </xf>
    <xf numFmtId="164" fontId="3" fillId="0" borderId="7" applyAlignment="1" applyProtection="1" pivotButton="0" quotePrefix="0" xfId="0">
      <alignment horizontal="right" wrapText="1"/>
      <protection locked="1" hidden="1"/>
    </xf>
    <xf numFmtId="164" fontId="7" fillId="0" borderId="7" applyAlignment="1" applyProtection="1" pivotButton="0" quotePrefix="0" xfId="0">
      <alignment horizontal="center" vertical="center" wrapText="1"/>
      <protection locked="1" hidden="1"/>
    </xf>
    <xf numFmtId="164" fontId="7" fillId="0" borderId="8" applyAlignment="1" applyProtection="1" pivotButton="0" quotePrefix="0" xfId="0">
      <alignment horizontal="center" vertical="center" wrapText="1"/>
      <protection locked="1" hidden="1"/>
    </xf>
    <xf numFmtId="164" fontId="7" fillId="0" borderId="6" applyAlignment="1" applyProtection="1" pivotButton="0" quotePrefix="0" xfId="0">
      <alignment horizontal="center" vertical="center" shrinkToFit="1"/>
      <protection locked="1" hidden="1"/>
    </xf>
    <xf numFmtId="164" fontId="7" fillId="0" borderId="7" applyAlignment="1" applyProtection="1" pivotButton="0" quotePrefix="0" xfId="0">
      <alignment horizontal="center" vertical="center" shrinkToFit="1"/>
      <protection locked="1" hidden="1"/>
    </xf>
    <xf numFmtId="164" fontId="7" fillId="0" borderId="8" applyAlignment="1" applyProtection="1" pivotButton="0" quotePrefix="0" xfId="0">
      <alignment horizontal="center" vertical="center" shrinkToFit="1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164" fontId="2" fillId="0" borderId="6" applyAlignment="1" applyProtection="1" pivotButton="0" quotePrefix="0" xfId="0">
      <alignment horizontal="center" vertical="center"/>
      <protection locked="1" hidden="1"/>
    </xf>
    <xf numFmtId="164" fontId="2" fillId="0" borderId="7" applyAlignment="1" applyProtection="1" pivotButton="0" quotePrefix="0" xfId="0">
      <alignment horizontal="center" vertical="center"/>
      <protection locked="1" hidden="1"/>
    </xf>
    <xf numFmtId="164" fontId="2" fillId="0" borderId="8" applyAlignment="1" applyProtection="1" pivotButton="0" quotePrefix="0" xfId="0">
      <alignment horizontal="center" vertical="center"/>
      <protection locked="1" hidden="1"/>
    </xf>
    <xf numFmtId="164" fontId="12" fillId="0" borderId="7" applyAlignment="1" applyProtection="1" pivotButton="0" quotePrefix="0" xfId="0">
      <alignment horizontal="left" vertical="center" wrapText="1" shrinkToFit="1"/>
      <protection locked="1" hidden="1"/>
    </xf>
    <xf numFmtId="164" fontId="12" fillId="0" borderId="8" applyAlignment="1" applyProtection="1" pivotButton="0" quotePrefix="0" xfId="0">
      <alignment horizontal="left" vertical="center" wrapText="1" shrinkToFit="1"/>
      <protection locked="1" hidden="1"/>
    </xf>
    <xf numFmtId="164" fontId="11" fillId="0" borderId="6" applyAlignment="1" applyProtection="1" pivotButton="0" quotePrefix="0" xfId="0">
      <alignment horizontal="center" vertical="center" wrapText="1" shrinkToFit="1"/>
      <protection locked="1" hidden="1"/>
    </xf>
    <xf numFmtId="164" fontId="11" fillId="0" borderId="7" applyAlignment="1" applyProtection="1" pivotButton="0" quotePrefix="0" xfId="0">
      <alignment horizontal="center" vertical="center" wrapText="1" shrinkToFit="1"/>
      <protection locked="1" hidden="1"/>
    </xf>
    <xf numFmtId="0" fontId="3" fillId="0" borderId="7" applyAlignment="1" applyProtection="1" pivotButton="0" quotePrefix="0" xfId="0">
      <alignment horizontal="right" vertical="center" wrapText="1"/>
      <protection locked="1" hidden="1"/>
    </xf>
    <xf numFmtId="164" fontId="4" fillId="0" borderId="27" applyAlignment="1" applyProtection="1" pivotButton="0" quotePrefix="0" xfId="0">
      <alignment horizontal="center" vertical="center"/>
      <protection locked="1" hidden="1"/>
    </xf>
    <xf numFmtId="164" fontId="4" fillId="0" borderId="15" applyAlignment="1" applyProtection="1" pivotButton="0" quotePrefix="0" xfId="0">
      <alignment horizontal="center" vertical="center"/>
      <protection locked="1" hidden="1"/>
    </xf>
    <xf numFmtId="164" fontId="4" fillId="0" borderId="16" applyAlignment="1" applyProtection="1" pivotButton="0" quotePrefix="0" xfId="0">
      <alignment horizontal="center" vertical="center"/>
      <protection locked="1" hidden="1"/>
    </xf>
    <xf numFmtId="164" fontId="4" fillId="0" borderId="111" applyAlignment="1" applyProtection="1" pivotButton="0" quotePrefix="0" xfId="0">
      <alignment horizontal="left" vertical="center" wrapText="1"/>
      <protection locked="1" hidden="1"/>
    </xf>
    <xf numFmtId="164" fontId="4" fillId="0" borderId="15" applyAlignment="1" applyProtection="1" pivotButton="0" quotePrefix="0" xfId="0">
      <alignment horizontal="left" vertical="center" wrapText="1"/>
      <protection locked="1" hidden="1"/>
    </xf>
    <xf numFmtId="164" fontId="4" fillId="0" borderId="16" applyAlignment="1" applyProtection="1" pivotButton="0" quotePrefix="0" xfId="0">
      <alignment horizontal="left" vertical="center" wrapText="1"/>
      <protection locked="1" hidden="1"/>
    </xf>
    <xf numFmtId="2" fontId="3" fillId="0" borderId="27" applyAlignment="1" applyProtection="1" pivotButton="0" quotePrefix="0" xfId="0">
      <alignment horizontal="right" vertical="center"/>
      <protection locked="1" hidden="1"/>
    </xf>
    <xf numFmtId="2" fontId="3" fillId="0" borderId="28" applyAlignment="1" applyProtection="1" pivotButton="0" quotePrefix="0" xfId="0">
      <alignment horizontal="right" vertical="center"/>
      <protection locked="1" hidden="1"/>
    </xf>
    <xf numFmtId="2" fontId="4" fillId="0" borderId="7" applyAlignment="1" applyProtection="1" pivotButton="0" quotePrefix="0" xfId="0">
      <alignment horizontal="center" vertical="center"/>
      <protection locked="1" hidden="1"/>
    </xf>
    <xf numFmtId="164" fontId="7" fillId="0" borderId="9" applyAlignment="1" applyProtection="1" pivotButton="0" quotePrefix="0" xfId="0">
      <alignment horizontal="center" vertical="center" wrapText="1"/>
      <protection locked="1" hidden="1"/>
    </xf>
    <xf numFmtId="164" fontId="7" fillId="0" borderId="10" applyAlignment="1" applyProtection="1" pivotButton="0" quotePrefix="0" xfId="0">
      <alignment horizontal="center" vertical="center" wrapText="1"/>
      <protection locked="1" hidden="1"/>
    </xf>
    <xf numFmtId="164" fontId="7" fillId="0" borderId="11" applyAlignment="1" applyProtection="1" pivotButton="0" quotePrefix="0" xfId="0">
      <alignment horizontal="center" vertical="center" wrapText="1"/>
      <protection locked="1" hidden="1"/>
    </xf>
    <xf numFmtId="164" fontId="7" fillId="0" borderId="35" applyAlignment="1" applyProtection="1" pivotButton="0" quotePrefix="0" xfId="0">
      <alignment horizontal="center" vertical="center" wrapText="1"/>
      <protection locked="1" hidden="1"/>
    </xf>
    <xf numFmtId="164" fontId="7" fillId="0" borderId="36" applyAlignment="1" applyProtection="1" pivotButton="0" quotePrefix="0" xfId="0">
      <alignment horizontal="center" vertical="center" wrapText="1"/>
      <protection locked="1" hidden="1"/>
    </xf>
    <xf numFmtId="164" fontId="7" fillId="0" borderId="33" applyAlignment="1" applyProtection="1" pivotButton="0" quotePrefix="0" xfId="0">
      <alignment horizontal="center" vertical="center" wrapText="1"/>
      <protection locked="1" hidden="1"/>
    </xf>
    <xf numFmtId="164" fontId="4" fillId="0" borderId="7" applyAlignment="1" applyProtection="1" pivotButton="0" quotePrefix="0" xfId="0">
      <alignment horizontal="center" vertical="center" wrapText="1"/>
      <protection locked="1" hidden="1"/>
    </xf>
    <xf numFmtId="0" fontId="2" fillId="0" borderId="0" applyAlignment="1" applyProtection="1" pivotButton="0" quotePrefix="0" xfId="0">
      <alignment horizontal="right" vertical="center"/>
      <protection locked="1" hidden="1"/>
    </xf>
    <xf numFmtId="0" fontId="9" fillId="0" borderId="0" applyAlignment="1" applyProtection="1" pivotButton="0" quotePrefix="0" xfId="0">
      <alignment horizontal="center" vertical="top" wrapText="1"/>
      <protection locked="1" hidden="1"/>
    </xf>
    <xf numFmtId="164" fontId="4" fillId="0" borderId="8" applyAlignment="1" applyProtection="1" pivotButton="0" quotePrefix="0" xfId="0">
      <alignment horizontal="center" vertical="center" wrapText="1"/>
      <protection locked="1" hidden="1"/>
    </xf>
    <xf numFmtId="164" fontId="4" fillId="0" borderId="0" applyAlignment="1" applyProtection="1" pivotButton="0" quotePrefix="0" xfId="0">
      <alignment horizontal="center" vertical="center"/>
      <protection locked="1" hidden="1"/>
    </xf>
    <xf numFmtId="164" fontId="4" fillId="0" borderId="7" applyAlignment="1" applyProtection="1" pivotButton="0" quotePrefix="0" xfId="0">
      <alignment horizontal="center" vertical="center" wrapText="1" shrinkToFit="1"/>
      <protection locked="1" hidden="1"/>
    </xf>
    <xf numFmtId="164" fontId="4" fillId="0" borderId="8" applyAlignment="1" applyProtection="1" pivotButton="0" quotePrefix="0" xfId="0">
      <alignment horizontal="center" vertical="center" wrapText="1" shrinkToFit="1"/>
      <protection locked="1" hidden="1"/>
    </xf>
    <xf numFmtId="164" fontId="3" fillId="0" borderId="6" applyAlignment="1" applyProtection="1" pivotButton="0" quotePrefix="0" xfId="0">
      <alignment horizontal="left" vertical="center" wrapText="1"/>
      <protection locked="1" hidden="1"/>
    </xf>
    <xf numFmtId="164" fontId="3" fillId="0" borderId="7" applyAlignment="1" applyProtection="1" pivotButton="0" quotePrefix="0" xfId="0">
      <alignment horizontal="left" vertical="center" wrapText="1"/>
      <protection locked="1" hidden="1"/>
    </xf>
    <xf numFmtId="164" fontId="3" fillId="0" borderId="7" applyAlignment="1" applyProtection="1" pivotButton="0" quotePrefix="0" xfId="0">
      <alignment horizontal="left" vertical="center" wrapText="1" shrinkToFit="1"/>
      <protection locked="1" hidden="1"/>
    </xf>
    <xf numFmtId="0" fontId="2" fillId="0" borderId="9" applyAlignment="1" applyProtection="1" pivotButton="0" quotePrefix="0" xfId="0">
      <alignment horizontal="center" vertical="center" shrinkToFit="1"/>
      <protection locked="1" hidden="1"/>
    </xf>
    <xf numFmtId="0" fontId="2" fillId="0" borderId="10" applyAlignment="1" applyProtection="1" pivotButton="0" quotePrefix="0" xfId="0">
      <alignment horizontal="center" vertical="center" shrinkToFit="1"/>
      <protection locked="1" hidden="1"/>
    </xf>
    <xf numFmtId="0" fontId="2" fillId="0" borderId="11" applyAlignment="1" applyProtection="1" pivotButton="0" quotePrefix="0" xfId="0">
      <alignment horizontal="center" vertical="center" shrinkToFit="1"/>
      <protection locked="1" hidden="1"/>
    </xf>
    <xf numFmtId="0" fontId="2" fillId="0" borderId="12" applyAlignment="1" applyProtection="1" pivotButton="0" quotePrefix="0" xfId="0">
      <alignment horizontal="center" vertical="center" shrinkToFit="1"/>
      <protection locked="1" hidden="1"/>
    </xf>
    <xf numFmtId="0" fontId="2" fillId="0" borderId="0" applyAlignment="1" applyProtection="1" pivotButton="0" quotePrefix="0" xfId="0">
      <alignment horizontal="center" vertical="center" shrinkToFit="1"/>
      <protection locked="1" hidden="1"/>
    </xf>
    <xf numFmtId="0" fontId="2" fillId="0" borderId="14" applyAlignment="1" applyProtection="1" pivotButton="0" quotePrefix="0" xfId="0">
      <alignment horizontal="center" vertical="center" shrinkToFit="1"/>
      <protection locked="1" hidden="1"/>
    </xf>
    <xf numFmtId="0" fontId="2" fillId="0" borderId="35" applyAlignment="1" applyProtection="1" pivotButton="0" quotePrefix="0" xfId="0">
      <alignment horizontal="center" vertical="center" shrinkToFit="1"/>
      <protection locked="1" hidden="1"/>
    </xf>
    <xf numFmtId="0" fontId="2" fillId="0" borderId="36" applyAlignment="1" applyProtection="1" pivotButton="0" quotePrefix="0" xfId="0">
      <alignment horizontal="center" vertical="center" shrinkToFit="1"/>
      <protection locked="1" hidden="1"/>
    </xf>
    <xf numFmtId="0" fontId="2" fillId="0" borderId="33" applyAlignment="1" applyProtection="1" pivotButton="0" quotePrefix="0" xfId="0">
      <alignment horizontal="center" vertical="center" shrinkToFit="1"/>
      <protection locked="1" hidden="1"/>
    </xf>
    <xf numFmtId="164" fontId="7" fillId="0" borderId="2" applyAlignment="1" applyProtection="1" pivotButton="0" quotePrefix="0" xfId="0">
      <alignment horizontal="center" vertical="center" shrinkToFit="1"/>
      <protection locked="1" hidden="1"/>
    </xf>
    <xf numFmtId="164" fontId="7" fillId="0" borderId="4" applyAlignment="1" applyProtection="1" pivotButton="0" quotePrefix="0" xfId="0">
      <alignment horizontal="center" vertical="center" shrinkToFit="1"/>
      <protection locked="1" hidden="1"/>
    </xf>
    <xf numFmtId="164" fontId="2" fillId="0" borderId="0" applyAlignment="1" applyProtection="1" pivotButton="0" quotePrefix="0" xfId="0">
      <alignment horizontal="center" vertical="center" shrinkToFit="1"/>
      <protection locked="1" hidden="1"/>
    </xf>
    <xf numFmtId="164" fontId="2" fillId="0" borderId="1" applyAlignment="1" applyProtection="1" pivotButton="0" quotePrefix="0" xfId="0">
      <alignment horizontal="center" vertical="center" shrinkToFit="1"/>
      <protection locked="1" hidden="1"/>
    </xf>
    <xf numFmtId="164" fontId="7" fillId="0" borderId="23" applyAlignment="1" applyProtection="1" pivotButton="0" quotePrefix="0" xfId="0">
      <alignment horizontal="center" vertical="center" shrinkToFit="1"/>
      <protection locked="1" hidden="1"/>
    </xf>
    <xf numFmtId="164" fontId="2" fillId="0" borderId="18" applyAlignment="1" applyProtection="1" pivotButton="0" quotePrefix="0" xfId="0">
      <alignment horizontal="center" vertical="center"/>
      <protection locked="1" hidden="1"/>
    </xf>
    <xf numFmtId="0" fontId="2" fillId="0" borderId="0" applyAlignment="1" applyProtection="1" pivotButton="0" quotePrefix="0" xfId="0">
      <alignment horizontal="right"/>
      <protection locked="1" hidden="1"/>
    </xf>
    <xf numFmtId="0" fontId="2" fillId="0" borderId="1" applyAlignment="1" applyProtection="1" pivotButton="0" quotePrefix="0" xfId="0">
      <alignment horizontal="right"/>
      <protection locked="1" hidden="1"/>
    </xf>
    <xf numFmtId="164" fontId="3" fillId="0" borderId="0" applyAlignment="1" applyProtection="1" pivotButton="0" quotePrefix="0" xfId="0">
      <alignment horizontal="center" vertical="center"/>
      <protection locked="1" hidden="1"/>
    </xf>
    <xf numFmtId="164" fontId="4" fillId="0" borderId="7" applyAlignment="1" applyProtection="1" pivotButton="0" quotePrefix="0" xfId="0">
      <alignment horizontal="center" vertical="center"/>
      <protection locked="1" hidden="1"/>
    </xf>
    <xf numFmtId="164" fontId="4" fillId="0" borderId="8" applyAlignment="1" applyProtection="1" pivotButton="0" quotePrefix="0" xfId="0">
      <alignment horizontal="center" vertical="center"/>
      <protection locked="1" hidden="1"/>
    </xf>
    <xf numFmtId="0" fontId="3" fillId="2" borderId="6" applyAlignment="1" applyProtection="1" pivotButton="0" quotePrefix="0" xfId="0">
      <alignment horizontal="center" shrinkToFit="1"/>
      <protection locked="1" hidden="1"/>
    </xf>
    <xf numFmtId="0" fontId="3" fillId="2" borderId="7" applyAlignment="1" applyProtection="1" pivotButton="0" quotePrefix="0" xfId="0">
      <alignment horizontal="center" shrinkToFit="1"/>
      <protection locked="1" hidden="1"/>
    </xf>
    <xf numFmtId="0" fontId="3" fillId="2" borderId="8" applyAlignment="1" applyProtection="1" pivotButton="0" quotePrefix="0" xfId="0">
      <alignment horizontal="center" shrinkToFit="1"/>
      <protection locked="1" hidden="1"/>
    </xf>
    <xf numFmtId="164" fontId="4" fillId="0" borderId="21" applyAlignment="1" applyProtection="1" pivotButton="0" quotePrefix="0" xfId="0">
      <alignment horizontal="left" shrinkToFit="1" indent="1"/>
      <protection locked="1" hidden="1"/>
    </xf>
    <xf numFmtId="164" fontId="4" fillId="0" borderId="3" applyAlignment="1" applyProtection="1" pivotButton="0" quotePrefix="0" xfId="0">
      <alignment horizontal="left" shrinkToFit="1" indent="1"/>
      <protection locked="1" hidden="1"/>
    </xf>
    <xf numFmtId="164" fontId="4" fillId="0" borderId="22" applyAlignment="1" applyProtection="1" pivotButton="0" quotePrefix="0" xfId="0">
      <alignment horizontal="left" shrinkToFit="1" indent="1"/>
      <protection locked="1" hidden="1"/>
    </xf>
    <xf numFmtId="164" fontId="4" fillId="0" borderId="24" applyAlignment="1" applyProtection="1" pivotButton="0" quotePrefix="0" xfId="0">
      <alignment horizontal="left" shrinkToFit="1" indent="1"/>
      <protection locked="1" hidden="1"/>
    </xf>
    <xf numFmtId="164" fontId="4" fillId="0" borderId="25" applyAlignment="1" applyProtection="1" pivotButton="0" quotePrefix="0" xfId="0">
      <alignment horizontal="left" shrinkToFit="1" indent="1"/>
      <protection locked="1" hidden="1"/>
    </xf>
    <xf numFmtId="164" fontId="4" fillId="0" borderId="78" applyAlignment="1" applyProtection="1" pivotButton="0" quotePrefix="0" xfId="0">
      <alignment horizontal="left" shrinkToFit="1" indent="1"/>
      <protection locked="1" hidden="1"/>
    </xf>
    <xf numFmtId="0" fontId="3" fillId="18" borderId="6" applyAlignment="1" applyProtection="1" pivotButton="0" quotePrefix="0" xfId="0">
      <alignment horizontal="center" vertical="center" shrinkToFit="1"/>
      <protection locked="1" hidden="1"/>
    </xf>
    <xf numFmtId="0" fontId="3" fillId="18" borderId="7" applyAlignment="1" applyProtection="1" pivotButton="0" quotePrefix="0" xfId="0">
      <alignment horizontal="center" vertical="center" shrinkToFit="1"/>
      <protection locked="1" hidden="1"/>
    </xf>
    <xf numFmtId="0" fontId="3" fillId="18" borderId="8" applyAlignment="1" applyProtection="1" pivotButton="0" quotePrefix="0" xfId="0">
      <alignment horizontal="center" vertical="center" shrinkToFit="1"/>
      <protection locked="1" hidden="1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3" fillId="2" borderId="35" applyAlignment="1" applyProtection="1" pivotButton="0" quotePrefix="0" xfId="0">
      <alignment horizontal="center" shrinkToFit="1"/>
      <protection locked="1" hidden="1"/>
    </xf>
    <xf numFmtId="0" fontId="3" fillId="2" borderId="36" applyAlignment="1" applyProtection="1" pivotButton="0" quotePrefix="0" xfId="0">
      <alignment horizontal="center" shrinkToFit="1"/>
      <protection locked="1" hidden="1"/>
    </xf>
    <xf numFmtId="0" fontId="3" fillId="2" borderId="33" applyAlignment="1" applyProtection="1" pivotButton="0" quotePrefix="0" xfId="0">
      <alignment horizontal="center" shrinkToFit="1"/>
      <protection locked="1" hidden="1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5" fillId="0" borderId="6" applyAlignment="1" applyProtection="1" pivotButton="0" quotePrefix="0" xfId="0">
      <alignment horizontal="center" vertical="center" shrinkToFit="1"/>
      <protection locked="1" hidden="1"/>
    </xf>
    <xf numFmtId="0" fontId="5" fillId="0" borderId="7" applyAlignment="1" applyProtection="1" pivotButton="0" quotePrefix="0" xfId="0">
      <alignment horizontal="center" vertical="center" shrinkToFit="1"/>
      <protection locked="1" hidden="1"/>
    </xf>
    <xf numFmtId="0" fontId="5" fillId="0" borderId="8" applyAlignment="1" applyProtection="1" pivotButton="0" quotePrefix="0" xfId="0">
      <alignment horizontal="center" vertical="center" shrinkToFit="1"/>
      <protection locked="1" hidden="1"/>
    </xf>
    <xf numFmtId="0" fontId="5" fillId="0" borderId="6" applyAlignment="1" applyProtection="1" pivotButton="0" quotePrefix="0" xfId="0">
      <alignment horizontal="center" vertical="center" wrapText="1"/>
      <protection locked="1" hidden="1"/>
    </xf>
    <xf numFmtId="0" fontId="5" fillId="0" borderId="7" applyAlignment="1" applyProtection="1" pivotButton="0" quotePrefix="0" xfId="0">
      <alignment horizontal="center" vertical="center"/>
      <protection locked="1" hidden="1"/>
    </xf>
    <xf numFmtId="0" fontId="5" fillId="0" borderId="8" applyAlignment="1" applyProtection="1" pivotButton="0" quotePrefix="0" xfId="0">
      <alignment horizontal="center" vertical="center"/>
      <protection locked="1" hidden="1"/>
    </xf>
    <xf numFmtId="164" fontId="3" fillId="0" borderId="6" applyAlignment="1" applyProtection="1" pivotButton="0" quotePrefix="0" xfId="0">
      <alignment vertical="center"/>
      <protection locked="1" hidden="1"/>
    </xf>
    <xf numFmtId="164" fontId="3" fillId="0" borderId="7" applyAlignment="1" applyProtection="1" pivotButton="0" quotePrefix="0" xfId="0">
      <alignment vertical="center"/>
      <protection locked="1" hidden="1"/>
    </xf>
    <xf numFmtId="164" fontId="7" fillId="0" borderId="21" applyAlignment="1" applyProtection="1" pivotButton="0" quotePrefix="0" xfId="0">
      <alignment horizontal="center"/>
      <protection locked="1" hidden="1"/>
    </xf>
    <xf numFmtId="164" fontId="7" fillId="0" borderId="3" applyAlignment="1" applyProtection="1" pivotButton="0" quotePrefix="0" xfId="0">
      <alignment horizontal="center"/>
      <protection locked="1" hidden="1"/>
    </xf>
    <xf numFmtId="164" fontId="7" fillId="0" borderId="22" applyAlignment="1" applyProtection="1" pivotButton="0" quotePrefix="0" xfId="0">
      <alignment horizontal="center"/>
      <protection locked="1" hidden="1"/>
    </xf>
    <xf numFmtId="0" fontId="3" fillId="2" borderId="6" applyAlignment="1" applyProtection="1" pivotButton="0" quotePrefix="0" xfId="0">
      <alignment horizontal="center" vertical="center" shrinkToFit="1"/>
      <protection locked="1" hidden="1"/>
    </xf>
    <xf numFmtId="0" fontId="3" fillId="2" borderId="7" applyAlignment="1" applyProtection="1" pivotButton="0" quotePrefix="0" xfId="0">
      <alignment horizontal="center" vertical="center" shrinkToFit="1"/>
      <protection locked="1" hidden="1"/>
    </xf>
    <xf numFmtId="0" fontId="3" fillId="2" borderId="8" applyAlignment="1" applyProtection="1" pivotButton="0" quotePrefix="0" xfId="0">
      <alignment horizontal="center" vertical="center" shrinkToFit="1"/>
      <protection locked="1" hidden="1"/>
    </xf>
    <xf numFmtId="164" fontId="12" fillId="0" borderId="6" applyAlignment="1" applyProtection="1" pivotButton="0" quotePrefix="0" xfId="0">
      <alignment horizontal="right" vertical="center"/>
      <protection locked="1" hidden="1"/>
    </xf>
    <xf numFmtId="164" fontId="12" fillId="0" borderId="7" applyAlignment="1" applyProtection="1" pivotButton="0" quotePrefix="0" xfId="0">
      <alignment horizontal="right" vertical="center"/>
      <protection locked="1" hidden="1"/>
    </xf>
    <xf numFmtId="164" fontId="7" fillId="0" borderId="39" applyAlignment="1" applyProtection="1" pivotButton="0" quotePrefix="0" xfId="0">
      <alignment horizontal="center"/>
      <protection locked="1" hidden="1"/>
    </xf>
    <xf numFmtId="164" fontId="7" fillId="0" borderId="40" applyAlignment="1" applyProtection="1" pivotButton="0" quotePrefix="0" xfId="0">
      <alignment horizontal="center"/>
      <protection locked="1" hidden="1"/>
    </xf>
    <xf numFmtId="164" fontId="7" fillId="0" borderId="41" applyAlignment="1" applyProtection="1" pivotButton="0" quotePrefix="0" xfId="0">
      <alignment horizontal="center"/>
      <protection locked="1" hidden="1"/>
    </xf>
    <xf numFmtId="0" fontId="7" fillId="0" borderId="3" applyAlignment="1" applyProtection="1" pivotButton="0" quotePrefix="0" xfId="0">
      <alignment horizontal="center"/>
      <protection locked="1" hidden="1"/>
    </xf>
    <xf numFmtId="0" fontId="7" fillId="0" borderId="40" applyAlignment="1" applyProtection="1" pivotButton="0" quotePrefix="0" xfId="0">
      <alignment horizontal="center"/>
      <protection locked="1" hidden="1"/>
    </xf>
    <xf numFmtId="164" fontId="7" fillId="0" borderId="24" applyAlignment="1" applyProtection="1" pivotButton="0" quotePrefix="0" xfId="0">
      <alignment horizontal="center"/>
      <protection locked="1" hidden="1"/>
    </xf>
    <xf numFmtId="164" fontId="7" fillId="0" borderId="25" applyAlignment="1" applyProtection="1" pivotButton="0" quotePrefix="0" xfId="0">
      <alignment horizontal="center"/>
      <protection locked="1" hidden="1"/>
    </xf>
    <xf numFmtId="164" fontId="7" fillId="0" borderId="78" applyAlignment="1" applyProtection="1" pivotButton="0" quotePrefix="0" xfId="0">
      <alignment horizontal="center"/>
      <protection locked="1" hidden="1"/>
    </xf>
    <xf numFmtId="164" fontId="7" fillId="0" borderId="17" applyAlignment="1" applyProtection="1" pivotButton="0" quotePrefix="0" xfId="0">
      <alignment horizontal="center"/>
      <protection locked="1" hidden="1"/>
    </xf>
    <xf numFmtId="164" fontId="7" fillId="0" borderId="18" applyAlignment="1" applyProtection="1" pivotButton="0" quotePrefix="0" xfId="0">
      <alignment horizontal="center"/>
      <protection locked="1" hidden="1"/>
    </xf>
    <xf numFmtId="164" fontId="7" fillId="0" borderId="64" applyAlignment="1" applyProtection="1" pivotButton="0" quotePrefix="0" xfId="0">
      <alignment horizontal="center"/>
      <protection locked="1" hidden="1"/>
    </xf>
    <xf numFmtId="164" fontId="7" fillId="18" borderId="6" applyAlignment="1" applyProtection="1" pivotButton="0" quotePrefix="0" xfId="0">
      <alignment horizontal="center" vertical="center"/>
      <protection locked="1" hidden="1"/>
    </xf>
    <xf numFmtId="164" fontId="7" fillId="18" borderId="7" applyAlignment="1" applyProtection="1" pivotButton="0" quotePrefix="0" xfId="0">
      <alignment horizontal="center" vertical="center"/>
      <protection locked="1" hidden="1"/>
    </xf>
    <xf numFmtId="164" fontId="7" fillId="18" borderId="8" applyAlignment="1" applyProtection="1" pivotButton="0" quotePrefix="0" xfId="0">
      <alignment horizontal="center" vertical="center"/>
      <protection locked="1" hidden="1"/>
    </xf>
    <xf numFmtId="164" fontId="7" fillId="0" borderId="29" applyAlignment="1" applyProtection="1" pivotButton="0" quotePrefix="0" xfId="0">
      <alignment horizontal="center"/>
      <protection locked="1" hidden="1"/>
    </xf>
    <xf numFmtId="164" fontId="7" fillId="0" borderId="30" applyAlignment="1" applyProtection="1" pivotButton="0" quotePrefix="0" xfId="0">
      <alignment horizontal="center"/>
      <protection locked="1" hidden="1"/>
    </xf>
    <xf numFmtId="164" fontId="7" fillId="0" borderId="31" applyAlignment="1" applyProtection="1" pivotButton="0" quotePrefix="0" xfId="0">
      <alignment horizontal="center"/>
      <protection locked="1" hidden="1"/>
    </xf>
    <xf numFmtId="0" fontId="7" fillId="0" borderId="18" applyAlignment="1" applyProtection="1" pivotButton="0" quotePrefix="0" xfId="0">
      <alignment horizontal="center"/>
      <protection locked="1" hidden="1"/>
    </xf>
    <xf numFmtId="0" fontId="7" fillId="0" borderId="30" applyAlignment="1" applyProtection="1" pivotButton="0" quotePrefix="0" xfId="0">
      <alignment horizontal="center"/>
      <protection locked="1" hidden="1"/>
    </xf>
    <xf numFmtId="0" fontId="7" fillId="0" borderId="25" applyAlignment="1" applyProtection="1" pivotButton="0" quotePrefix="0" xfId="0">
      <alignment horizontal="center"/>
      <protection locked="1" hidden="1"/>
    </xf>
    <xf numFmtId="0" fontId="39" fillId="0" borderId="0" applyAlignment="1" pivotButton="0" quotePrefix="0" xfId="0">
      <alignment horizontal="center" vertical="top" wrapText="1"/>
    </xf>
    <xf numFmtId="0" fontId="39" fillId="0" borderId="0" applyAlignment="1" pivotButton="0" quotePrefix="0" xfId="0">
      <alignment horizontal="center" vertical="top"/>
    </xf>
    <xf numFmtId="0" fontId="35" fillId="4" borderId="49" applyAlignment="1" pivotButton="0" quotePrefix="0" xfId="0">
      <alignment horizontal="center" vertical="center" wrapText="1"/>
    </xf>
    <xf numFmtId="0" fontId="35" fillId="4" borderId="25" applyAlignment="1" pivotButton="0" quotePrefix="0" xfId="0">
      <alignment horizontal="center" vertical="center" wrapText="1"/>
    </xf>
    <xf numFmtId="0" fontId="35" fillId="4" borderId="50" applyAlignment="1" pivotButton="0" quotePrefix="0" xfId="0">
      <alignment horizontal="center" vertical="center" wrapText="1"/>
    </xf>
    <xf numFmtId="0" fontId="0" fillId="0" borderId="10" pivotButton="0" quotePrefix="0" xfId="0"/>
    <xf numFmtId="0" fontId="16" fillId="4" borderId="129" applyAlignment="1" pivotButton="0" quotePrefix="0" xfId="0">
      <alignment horizontal="left" vertical="center" wrapText="1"/>
    </xf>
    <xf numFmtId="0" fontId="0" fillId="0" borderId="66" pivotButton="0" quotePrefix="0" xfId="0"/>
    <xf numFmtId="0" fontId="0" fillId="0" borderId="67" pivotButton="0" quotePrefix="0" xfId="0"/>
    <xf numFmtId="0" fontId="25" fillId="0" borderId="122" applyAlignment="1" pivotButton="0" quotePrefix="0" xfId="0">
      <alignment horizontal="center" vertical="center"/>
    </xf>
    <xf numFmtId="0" fontId="16" fillId="4" borderId="127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71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16" fillId="4" borderId="132" applyAlignment="1" pivotButton="0" quotePrefix="0" xfId="0">
      <alignment horizontal="left" vertical="center" wrapText="1"/>
    </xf>
    <xf numFmtId="0" fontId="0" fillId="0" borderId="75" pivotButton="0" quotePrefix="0" xfId="0"/>
    <xf numFmtId="0" fontId="0" fillId="0" borderId="76" pivotButton="0" quotePrefix="0" xfId="0"/>
    <xf numFmtId="0" fontId="0" fillId="0" borderId="113" pivotButton="0" quotePrefix="0" xfId="0"/>
    <xf numFmtId="0" fontId="0" fillId="0" borderId="114" pivotButton="0" quotePrefix="0" xfId="0"/>
    <xf numFmtId="0" fontId="44" fillId="0" borderId="108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1" pivotButton="0" quotePrefix="0" xfId="0"/>
    <xf numFmtId="0" fontId="0" fillId="0" borderId="19" pivotButton="0" quotePrefix="0" xfId="0"/>
    <xf numFmtId="0" fontId="18" fillId="0" borderId="23" applyAlignment="1" pivotButton="0" quotePrefix="0" xfId="0">
      <alignment horizontal="left" vertical="top" indent="1"/>
    </xf>
    <xf numFmtId="0" fontId="28" fillId="12" borderId="7" applyAlignment="1" pivotButton="0" quotePrefix="0" xfId="0">
      <alignment horizontal="left" vertical="top" wrapText="1"/>
    </xf>
    <xf numFmtId="0" fontId="0" fillId="0" borderId="36" pivotButton="0" quotePrefix="0" xfId="0"/>
    <xf numFmtId="0" fontId="19" fillId="11" borderId="101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4" applyProtection="1" pivotButton="0" quotePrefix="0" xfId="0">
      <protection locked="0" hidden="0"/>
    </xf>
    <xf numFmtId="0" fontId="0" fillId="0" borderId="25" pivotButton="0" quotePrefix="0" xfId="0"/>
    <xf numFmtId="0" fontId="0" fillId="0" borderId="50" applyProtection="1" pivotButton="0" quotePrefix="0" xfId="0">
      <protection locked="0" hidden="0"/>
    </xf>
    <xf numFmtId="0" fontId="0" fillId="0" borderId="18" pivotButton="0" quotePrefix="0" xfId="0"/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15" fillId="10" borderId="105" applyAlignment="1" applyProtection="1" pivotButton="0" quotePrefix="0" xfId="0">
      <alignment horizontal="left" vertical="center" wrapText="1"/>
      <protection locked="0" hidden="0"/>
    </xf>
    <xf numFmtId="0" fontId="0" fillId="0" borderId="107" applyProtection="1" pivotButton="0" quotePrefix="0" xfId="0">
      <protection locked="0" hidden="0"/>
    </xf>
    <xf numFmtId="0" fontId="0" fillId="0" borderId="102" pivotButton="0" quotePrefix="0" xfId="0"/>
    <xf numFmtId="0" fontId="0" fillId="0" borderId="103" applyProtection="1" pivotButton="0" quotePrefix="0" xfId="0">
      <protection locked="0" hidden="0"/>
    </xf>
    <xf numFmtId="0" fontId="41" fillId="5" borderId="2" applyAlignment="1" pivotButton="0" quotePrefix="0" xfId="0">
      <alignment horizontal="left" vertical="center" wrapText="1"/>
    </xf>
    <xf numFmtId="0" fontId="42" fillId="5" borderId="3" applyAlignment="1" pivotButton="0" quotePrefix="0" xfId="0">
      <alignment horizontal="center" vertical="center"/>
    </xf>
    <xf numFmtId="0" fontId="42" fillId="5" borderId="4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11" applyProtection="1" pivotButton="0" quotePrefix="0" xfId="0">
      <protection locked="1" hidden="1"/>
    </xf>
    <xf numFmtId="164" fontId="7" fillId="0" borderId="5" applyAlignment="1" applyProtection="1" pivotButton="0" quotePrefix="0" xfId="0">
      <alignment vertical="center" shrinkToFit="1"/>
      <protection locked="1" hidden="1"/>
    </xf>
    <xf numFmtId="0" fontId="0" fillId="0" borderId="8" applyProtection="1" pivotButton="0" quotePrefix="0" xfId="0">
      <protection locked="1" hidden="1"/>
    </xf>
    <xf numFmtId="0" fontId="4" fillId="0" borderId="5" applyAlignment="1" applyProtection="1" pivotButton="0" quotePrefix="0" xfId="0">
      <alignment horizontal="center" vertical="center"/>
      <protection locked="1" hidden="1"/>
    </xf>
    <xf numFmtId="164" fontId="2" fillId="0" borderId="5" applyAlignment="1" applyProtection="1" pivotButton="0" quotePrefix="0" xfId="0">
      <alignment horizontal="center" vertical="center"/>
      <protection locked="1" hidden="1"/>
    </xf>
    <xf numFmtId="164" fontId="7" fillId="0" borderId="5" applyAlignment="1" applyProtection="1" pivotButton="0" quotePrefix="0" xfId="0">
      <alignment horizontal="center" vertical="center" shrinkToFit="1"/>
      <protection locked="1" hidden="1"/>
    </xf>
    <xf numFmtId="0" fontId="2" fillId="0" borderId="37" applyAlignment="1" applyProtection="1" pivotButton="0" quotePrefix="0" xfId="0">
      <alignment horizontal="center" vertical="center"/>
      <protection locked="1" hidden="1"/>
    </xf>
    <xf numFmtId="0" fontId="0" fillId="0" borderId="10" applyProtection="1" pivotButton="0" quotePrefix="0" xfId="0">
      <protection locked="1" hidden="1"/>
    </xf>
    <xf numFmtId="0" fontId="0" fillId="0" borderId="79" applyProtection="1" pivotButton="0" quotePrefix="0" xfId="0">
      <protection locked="1" hidden="1"/>
    </xf>
    <xf numFmtId="0" fontId="3" fillId="0" borderId="121" applyAlignment="1" applyProtection="1" pivotButton="0" quotePrefix="0" xfId="0">
      <alignment horizontal="center" vertical="center" wrapText="1"/>
      <protection locked="1" hidden="1"/>
    </xf>
    <xf numFmtId="164" fontId="7" fillId="0" borderId="5" applyAlignment="1" applyProtection="1" pivotButton="0" quotePrefix="0" xfId="0">
      <alignment horizontal="center" vertical="center" wrapText="1"/>
      <protection locked="1" hidden="1"/>
    </xf>
    <xf numFmtId="0" fontId="0" fillId="0" borderId="11" applyProtection="1" pivotButton="0" quotePrefix="0" xfId="0">
      <protection locked="1" hidden="1"/>
    </xf>
    <xf numFmtId="0" fontId="0" fillId="0" borderId="35" applyProtection="1" pivotButton="0" quotePrefix="0" xfId="0">
      <protection locked="1" hidden="1"/>
    </xf>
    <xf numFmtId="0" fontId="0" fillId="0" borderId="36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53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2" fillId="0" borderId="138" applyAlignment="1" applyProtection="1" pivotButton="0" quotePrefix="0" xfId="0">
      <alignment horizontal="center" vertical="center" wrapText="1"/>
      <protection locked="1" hidden="1"/>
    </xf>
    <xf numFmtId="0" fontId="0" fillId="0" borderId="38" applyProtection="1" pivotButton="0" quotePrefix="0" xfId="0">
      <protection locked="1" hidden="1"/>
    </xf>
    <xf numFmtId="0" fontId="0" fillId="0" borderId="47" applyProtection="1" pivotButton="0" quotePrefix="0" xfId="0">
      <protection locked="1" hidden="1"/>
    </xf>
    <xf numFmtId="0" fontId="0" fillId="0" borderId="82" applyProtection="1" pivotButton="0" quotePrefix="0" xfId="0">
      <protection locked="1" hidden="1"/>
    </xf>
    <xf numFmtId="0" fontId="3" fillId="2" borderId="5" applyAlignment="1" applyProtection="1" pivotButton="0" quotePrefix="0" xfId="0">
      <alignment horizontal="left" vertical="center" shrinkToFi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11" fillId="2" borderId="47" applyAlignment="1" applyProtection="1" pivotButton="0" quotePrefix="0" xfId="0">
      <alignment horizontal="left" vertical="center" shrinkToFit="1"/>
      <protection locked="1" hidden="1"/>
    </xf>
    <xf numFmtId="0" fontId="0" fillId="0" borderId="14" applyProtection="1" pivotButton="0" quotePrefix="0" xfId="0">
      <protection locked="1" hidden="1"/>
    </xf>
    <xf numFmtId="0" fontId="0" fillId="0" borderId="30" applyProtection="1" pivotButton="0" quotePrefix="0" xfId="0">
      <protection locked="1" hidden="1"/>
    </xf>
    <xf numFmtId="0" fontId="0" fillId="0" borderId="139" applyProtection="1" pivotButton="0" quotePrefix="0" xfId="0">
      <protection locked="1" hidden="1"/>
    </xf>
    <xf numFmtId="0" fontId="0" fillId="0" borderId="1" applyProtection="1" pivotButton="0" quotePrefix="0" xfId="0">
      <protection locked="1" hidden="1"/>
    </xf>
    <xf numFmtId="0" fontId="0" fillId="0" borderId="18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2" fillId="0" borderId="5" applyAlignment="1" applyProtection="1" pivotButton="0" quotePrefix="0" xfId="0">
      <alignment horizontal="center" vertical="center" shrinkToFit="1"/>
      <protection locked="1" hidden="1"/>
    </xf>
    <xf numFmtId="0" fontId="0" fillId="0" borderId="12" applyProtection="1" pivotButton="0" quotePrefix="0" xfId="0">
      <protection locked="1" hidden="1"/>
    </xf>
    <xf numFmtId="0" fontId="5" fillId="0" borderId="5" applyAlignment="1" applyProtection="1" pivotButton="0" quotePrefix="0" xfId="0">
      <alignment horizontal="center" vertical="center" shrinkToFit="1"/>
      <protection locked="1" hidden="1"/>
    </xf>
    <xf numFmtId="0" fontId="5" fillId="0" borderId="5" applyAlignment="1" applyProtection="1" pivotButton="0" quotePrefix="0" xfId="0">
      <alignment horizontal="center" vertical="center" wrapText="1"/>
      <protection locked="1" hidden="1"/>
    </xf>
    <xf numFmtId="0" fontId="3" fillId="2" borderId="5" applyAlignment="1" applyProtection="1" pivotButton="0" quotePrefix="0" xfId="0">
      <alignment horizontal="center" vertical="center" shrinkToFit="1"/>
      <protection locked="1" hidden="1"/>
    </xf>
    <xf numFmtId="0" fontId="3" fillId="2" borderId="5" applyAlignment="1" applyProtection="1" pivotButton="0" quotePrefix="0" xfId="0">
      <alignment horizontal="center" shrinkToFit="1"/>
      <protection locked="1" hidden="1"/>
    </xf>
    <xf numFmtId="0" fontId="3" fillId="2" borderId="82" applyAlignment="1" applyProtection="1" pivotButton="0" quotePrefix="0" xfId="0">
      <alignment horizontal="center" shrinkToFit="1"/>
      <protection locked="1" hidden="1"/>
    </xf>
    <xf numFmtId="164" fontId="4" fillId="0" borderId="55" applyAlignment="1" applyProtection="1" pivotButton="0" quotePrefix="0" xfId="0">
      <alignment horizontal="left" shrinkToFit="1" indent="1"/>
      <protection locked="1" hidden="1"/>
    </xf>
    <xf numFmtId="0" fontId="0" fillId="0" borderId="22" applyProtection="1" pivotButton="0" quotePrefix="0" xfId="0">
      <protection locked="1" hidden="1"/>
    </xf>
    <xf numFmtId="164" fontId="7" fillId="0" borderId="115" applyAlignment="1" applyProtection="1" pivotButton="0" quotePrefix="0" xfId="0">
      <alignment horizontal="center"/>
      <protection locked="1" hidden="1"/>
    </xf>
    <xf numFmtId="0" fontId="0" fillId="0" borderId="40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164" fontId="7" fillId="0" borderId="55" applyAlignment="1" applyProtection="1" pivotButton="0" quotePrefix="0" xfId="0">
      <alignment horizontal="center"/>
      <protection locked="1" hidden="1"/>
    </xf>
    <xf numFmtId="164" fontId="4" fillId="0" borderId="56" applyAlignment="1" applyProtection="1" pivotButton="0" quotePrefix="0" xfId="0">
      <alignment horizontal="left" shrinkToFit="1" indent="1"/>
      <protection locked="1" hidden="1"/>
    </xf>
    <xf numFmtId="0" fontId="0" fillId="0" borderId="25" applyProtection="1" pivotButton="0" quotePrefix="0" xfId="0">
      <protection locked="1" hidden="1"/>
    </xf>
    <xf numFmtId="0" fontId="0" fillId="0" borderId="78" applyProtection="1" pivotButton="0" quotePrefix="0" xfId="0">
      <protection locked="1" hidden="1"/>
    </xf>
    <xf numFmtId="164" fontId="7" fillId="0" borderId="56" applyAlignment="1" applyProtection="1" pivotButton="0" quotePrefix="0" xfId="0">
      <alignment horizontal="center"/>
      <protection locked="1" hidden="1"/>
    </xf>
    <xf numFmtId="0" fontId="3" fillId="18" borderId="5" applyAlignment="1" applyProtection="1" pivotButton="0" quotePrefix="0" xfId="0">
      <alignment horizontal="center" vertical="center" shrinkToFit="1"/>
      <protection locked="1" hidden="1"/>
    </xf>
    <xf numFmtId="164" fontId="7" fillId="18" borderId="5" applyAlignment="1" applyProtection="1" pivotButton="0" quotePrefix="0" xfId="0">
      <alignment horizontal="center" vertical="center"/>
      <protection locked="1" hidden="1"/>
    </xf>
    <xf numFmtId="164" fontId="7" fillId="0" borderId="116" applyAlignment="1" applyProtection="1" pivotButton="0" quotePrefix="0" xfId="0">
      <alignment horizontal="center"/>
      <protection locked="1" hidden="1"/>
    </xf>
    <xf numFmtId="0" fontId="0" fillId="0" borderId="64" applyProtection="1" pivotButton="0" quotePrefix="0" xfId="0">
      <protection locked="1" hidden="1"/>
    </xf>
    <xf numFmtId="164" fontId="7" fillId="0" borderId="60" applyAlignment="1" applyProtection="1" pivotButton="0" quotePrefix="0" xfId="0">
      <alignment horizontal="center"/>
      <protection locked="1" hidden="1"/>
    </xf>
    <xf numFmtId="0" fontId="0" fillId="0" borderId="31" applyProtection="1" pivotButton="0" quotePrefix="0" xfId="0">
      <protection locked="1" hidden="1"/>
    </xf>
  </cellXfs>
  <cellStyles count="4">
    <cellStyle name="Normal" xfId="0" builtinId="0"/>
    <cellStyle name="Percent" xfId="1" builtinId="5"/>
    <cellStyle name="Normal 2" xfId="2"/>
    <cellStyle name="Hyperlink" xfId="3" builtinId="8"/>
  </cellStyles>
  <dxfs count="4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46592608417"/>
      </font>
      <fill>
        <patternFill>
          <bgColor rgb="FF91E7BA"/>
        </patternFill>
      </fill>
    </dxf>
    <dxf>
      <font>
        <color theme="9" tint="-0.249946592608417"/>
      </font>
      <fill>
        <patternFill>
          <bgColor rgb="FF91E7BA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  <color theme="0" tint="-0.3499862666707358"/>
      </font>
      <fill>
        <patternFill>
          <bgColor theme="0" tint="-0.349986266670735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  <color theme="0" tint="-0.3499862666707358"/>
      </font>
      <fill>
        <patternFill>
          <bgColor theme="0" tint="-0.3499862666707358"/>
        </patternFill>
      </fill>
    </dxf>
    <dxf>
      <font>
        <b val="1"/>
        <color theme="0" tint="-0.3499862666707358"/>
      </font>
      <fill>
        <patternFill>
          <bgColor theme="0" tint="-0.349986266670735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46592608417"/>
      </font>
      <fill>
        <patternFill>
          <bgColor rgb="FF91E7BA"/>
        </patternFill>
      </fill>
    </dxf>
    <dxf>
      <font>
        <color theme="9" tint="-0.249946592608417"/>
      </font>
      <fill>
        <patternFill>
          <bgColor rgb="FF91E7BA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  <color theme="0" tint="-0.3499862666707358"/>
      </font>
      <fill>
        <patternFill>
          <bgColor theme="0" tint="-0.349986266670735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  <color theme="0" tint="-0.3499862666707358"/>
      </font>
      <fill>
        <patternFill>
          <bgColor theme="0" tint="-0.3499862666707358"/>
        </patternFill>
      </fill>
    </dxf>
    <dxf>
      <font>
        <b val="1"/>
        <color theme="0" tint="-0.3499862666707358"/>
      </font>
      <fill>
        <patternFill>
          <bgColor theme="0" tint="-0.349986266670735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46592608417"/>
      </font>
      <fill>
        <patternFill>
          <bgColor rgb="FF91E7BA"/>
        </patternFill>
      </fill>
    </dxf>
    <dxf>
      <font>
        <color theme="9" tint="-0.249946592608417"/>
      </font>
      <fill>
        <patternFill>
          <bgColor rgb="FF91E7BA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  <color theme="0" tint="-0.3499862666707358"/>
      </font>
      <fill>
        <patternFill>
          <bgColor theme="0" tint="-0.349986266670735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46592608417"/>
      </font>
      <fill>
        <patternFill>
          <bgColor rgb="FF91E7BA"/>
        </patternFill>
      </fill>
    </dxf>
    <dxf>
      <font>
        <color theme="9" tint="-0.249946592608417"/>
      </font>
      <fill>
        <patternFill>
          <bgColor rgb="FF91E7BA"/>
        </patternFill>
      </fill>
    </dxf>
    <dxf>
      <font>
        <color rgb="FF002060"/>
      </font>
      <fill>
        <patternFill>
          <bgColor theme="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png" Id="rId2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294734</xdr:colOff>
      <xdr:row>10</xdr:row>
      <xdr:rowOff>143774</xdr:rowOff>
    </xdr:from>
    <xdr:to>
      <xdr:col>21</xdr:col>
      <xdr:colOff>45693</xdr:colOff>
      <xdr:row>22</xdr:row>
      <xdr:rowOff>146631</xdr:rowOff>
    </xdr:to>
    <xdr:pic>
      <xdr:nvPicPr>
        <xdr:cNvPr id="3" name="Picture 2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6836432" y="2077529"/>
          <a:ext cx="2015393" cy="20731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  <xdr:twoCellAnchor editAs="oneCell">
    <xdr:from>
      <xdr:col>14</xdr:col>
      <xdr:colOff>143444</xdr:colOff>
      <xdr:row>30</xdr:row>
      <xdr:rowOff>50325</xdr:rowOff>
    </xdr:from>
    <xdr:to>
      <xdr:col>21</xdr:col>
      <xdr:colOff>42714</xdr:colOff>
      <xdr:row>34</xdr:row>
      <xdr:rowOff>122210</xdr:rowOff>
    </xdr:to>
    <xdr:pic>
      <xdr:nvPicPr>
        <xdr:cNvPr id="4" name="Picture 3"/>
        <xdr:cNvPicPr>
          <a:picLocks xmlns:a="http://schemas.openxmlformats.org/drawingml/2006/main" noChangeAspect="1"/>
        </xdr:cNvPicPr>
      </xdr:nvPicPr>
      <xdr: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-1" b="73624"/>
        <a:stretch xmlns:a="http://schemas.openxmlformats.org/drawingml/2006/main">
          <a:fillRect/>
        </a:stretch>
      </xdr:blipFill>
      <xdr:spPr>
        <a:xfrm xmlns:a="http://schemas.openxmlformats.org/drawingml/2006/main">
          <a:off x="5678727" y="5492155"/>
          <a:ext cx="3170119" cy="7619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  <xdr:twoCellAnchor editAs="oneCell">
    <xdr:from>
      <xdr:col>0</xdr:col>
      <xdr:colOff>225951</xdr:colOff>
      <xdr:row>46</xdr:row>
      <xdr:rowOff>101289</xdr:rowOff>
    </xdr:from>
    <xdr:to>
      <xdr:col>20</xdr:col>
      <xdr:colOff>160192</xdr:colOff>
      <xdr:row>53</xdr:row>
      <xdr:rowOff>148037</xdr:rowOff>
    </xdr:to>
    <xdr:pic>
      <xdr:nvPicPr>
        <xdr:cNvPr id="6" name="Picture 5"/>
        <xdr:cNvPicPr>
          <a:picLocks xmlns:a="http://schemas.openxmlformats.org/drawingml/2006/main" noChangeAspect="1"/>
        </xdr:cNvPicPr>
      </xdr:nvPicPr>
      <xdr:blipFill rotWithShape="1">
        <a:blip xmlns:a="http://schemas.openxmlformats.org/drawingml/2006/main" xmlns:r="http://schemas.openxmlformats.org/officeDocument/2006/relationships" r:embed="rId3"/>
        <a:srcRect xmlns:a="http://schemas.openxmlformats.org/drawingml/2006/main" t="7022"/>
        <a:stretch xmlns:a="http://schemas.openxmlformats.org/drawingml/2006/main">
          <a:fillRect/>
        </a:stretch>
      </xdr:blipFill>
      <xdr:spPr>
        <a:xfrm xmlns:a="http://schemas.openxmlformats.org/drawingml/2006/main">
          <a:off x="225951" y="8601718"/>
          <a:ext cx="9470928" cy="130116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1269856</xdr:colOff>
      <xdr:row>0</xdr:row>
      <xdr:rowOff>173629</xdr:rowOff>
    </xdr:from>
    <xdr:to>
      <xdr:col>16</xdr:col>
      <xdr:colOff>20903</xdr:colOff>
      <xdr:row>3</xdr:row>
      <xdr:rowOff>157024</xdr:rowOff>
    </xdr:to>
    <xdr:pic>
      <xdr:nvPicPr>
        <xdr:cNvPr id="6" name="Picture 5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9489931" y="173629"/>
          <a:ext cx="1379946" cy="6977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  <xdr:twoCellAnchor editAs="oneCell">
    <xdr:from>
      <xdr:col>1</xdr:col>
      <xdr:colOff>38100</xdr:colOff>
      <xdr:row>0</xdr:row>
      <xdr:rowOff>171450</xdr:rowOff>
    </xdr:from>
    <xdr:to>
      <xdr:col>2</xdr:col>
      <xdr:colOff>634727</xdr:colOff>
      <xdr:row>4</xdr:row>
      <xdr:rowOff>66675</xdr:rowOff>
    </xdr:to>
    <xdr:pic>
      <xdr:nvPicPr>
        <xdr:cNvPr id="7" name="Picture 19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screen" r:embed="rId2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289560" y="171450"/>
          <a:ext cx="848087" cy="7791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66675</xdr:rowOff>
    </xdr:from>
    <xdr:to>
      <xdr:col>1</xdr:col>
      <xdr:colOff>1066799</xdr:colOff>
      <xdr:row>4</xdr:row>
      <xdr:rowOff>219076</xdr:rowOff>
    </xdr:to>
    <xdr:pic>
      <xdr:nvPicPr>
        <xdr:cNvPr id="2" name="Picture 19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336550" y="1666875"/>
          <a:ext cx="1047749" cy="99060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xdr:spPr>
    </xdr:pic>
    <xdr:clientData/>
  </xdr:twoCellAnchor>
  <xdr:twoCellAnchor editAs="oneCell">
    <xdr:from>
      <xdr:col>25</xdr:col>
      <xdr:colOff>532961</xdr:colOff>
      <xdr:row>0</xdr:row>
      <xdr:rowOff>0</xdr:rowOff>
    </xdr:from>
    <xdr:to>
      <xdr:col>28</xdr:col>
      <xdr:colOff>933</xdr:colOff>
      <xdr:row>3</xdr:row>
      <xdr:rowOff>244929</xdr:rowOff>
    </xdr:to>
    <xdr:pic>
      <xdr:nvPicPr>
        <xdr:cNvPr id="3" name="Picture 2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xdr:blipFill>
      <xdr:spPr>
        <a:xfrm xmlns:a="http://schemas.openxmlformats.org/drawingml/2006/main">
          <a:off x="12434400" y="0"/>
          <a:ext cx="1856559" cy="82220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66675</xdr:rowOff>
    </xdr:from>
    <xdr:to>
      <xdr:col>1</xdr:col>
      <xdr:colOff>1066799</xdr:colOff>
      <xdr:row>4</xdr:row>
      <xdr:rowOff>219076</xdr:rowOff>
    </xdr:to>
    <xdr:pic>
      <xdr:nvPicPr>
        <xdr:cNvPr id="2" name="Picture 19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336550" y="66675"/>
          <a:ext cx="1047749" cy="99060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xdr:spPr>
    </xdr:pic>
    <xdr:clientData/>
  </xdr:twoCellAnchor>
  <xdr:twoCellAnchor editAs="oneCell">
    <xdr:from>
      <xdr:col>25</xdr:col>
      <xdr:colOff>532961</xdr:colOff>
      <xdr:row>0</xdr:row>
      <xdr:rowOff>0</xdr:rowOff>
    </xdr:from>
    <xdr:to>
      <xdr:col>27</xdr:col>
      <xdr:colOff>707177</xdr:colOff>
      <xdr:row>3</xdr:row>
      <xdr:rowOff>244929</xdr:rowOff>
    </xdr:to>
    <xdr:pic>
      <xdr:nvPicPr>
        <xdr:cNvPr id="3" name="Picture 2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xdr:blipFill>
      <xdr:spPr>
        <a:xfrm xmlns:a="http://schemas.openxmlformats.org/drawingml/2006/main">
          <a:off x="12496361" y="0"/>
          <a:ext cx="1860776" cy="8164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66675</xdr:rowOff>
    </xdr:from>
    <xdr:to>
      <xdr:col>1</xdr:col>
      <xdr:colOff>1066799</xdr:colOff>
      <xdr:row>4</xdr:row>
      <xdr:rowOff>219076</xdr:rowOff>
    </xdr:to>
    <xdr:pic>
      <xdr:nvPicPr>
        <xdr:cNvPr id="2" name="Picture 19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336550" y="66675"/>
          <a:ext cx="1047749" cy="99060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xdr:spPr>
    </xdr:pic>
    <xdr:clientData/>
  </xdr:twoCellAnchor>
  <xdr:twoCellAnchor editAs="oneCell">
    <xdr:from>
      <xdr:col>25</xdr:col>
      <xdr:colOff>532961</xdr:colOff>
      <xdr:row>0</xdr:row>
      <xdr:rowOff>0</xdr:rowOff>
    </xdr:from>
    <xdr:to>
      <xdr:col>28</xdr:col>
      <xdr:colOff>933</xdr:colOff>
      <xdr:row>3</xdr:row>
      <xdr:rowOff>244929</xdr:rowOff>
    </xdr:to>
    <xdr:pic>
      <xdr:nvPicPr>
        <xdr:cNvPr id="3" name="Picture 2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xdr:blipFill>
      <xdr:spPr>
        <a:xfrm xmlns:a="http://schemas.openxmlformats.org/drawingml/2006/main">
          <a:off x="12496361" y="0"/>
          <a:ext cx="1860776" cy="8164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63500</xdr:rowOff>
    </xdr:from>
    <xdr:to>
      <xdr:col>1</xdr:col>
      <xdr:colOff>904875</xdr:colOff>
      <xdr:row>5</xdr:row>
      <xdr:rowOff>182778</xdr:rowOff>
    </xdr:to>
    <xdr:pic>
      <xdr:nvPicPr>
        <xdr:cNvPr id="4" name="Picture 19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47625" y="63500"/>
          <a:ext cx="1143000" cy="113527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xdr:spPr>
    </xdr:pic>
    <xdr:clientData/>
  </xdr:twoCellAnchor>
  <xdr:twoCellAnchor editAs="oneCell">
    <xdr:from>
      <xdr:col>27</xdr:col>
      <xdr:colOff>367946</xdr:colOff>
      <xdr:row>0</xdr:row>
      <xdr:rowOff>0</xdr:rowOff>
    </xdr:from>
    <xdr:to>
      <xdr:col>29</xdr:col>
      <xdr:colOff>1188</xdr:colOff>
      <xdr:row>3</xdr:row>
      <xdr:rowOff>96926</xdr:rowOff>
    </xdr:to>
    <xdr:pic>
      <xdr:nvPicPr>
        <xdr:cNvPr id="2" name="Picture 1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xdr:blipFill>
      <xdr:spPr>
        <a:xfrm xmlns:a="http://schemas.openxmlformats.org/drawingml/2006/main">
          <a:off x="9341030" y="0"/>
          <a:ext cx="1429283" cy="6666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ngoyab\Documents\MSAT\Forms\e-class%20records%20for%20evaluation\SHS%20E-Class%20Record%20Final2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PUT DATA"/>
      <sheetName val="1ST"/>
      <sheetName val="2ND"/>
      <sheetName val="Final Semestral Grade"/>
    </sheetNames>
    <sheetDataSet>
      <sheetData sheetId="0">
        <row r="1002">
          <cell r="A1002" t="str">
            <v>Core Subject (All Tracks)</v>
          </cell>
        </row>
        <row r="1003">
          <cell r="A1003" t="str">
            <v>Academic Track (except Immersion)</v>
          </cell>
        </row>
        <row r="1004">
          <cell r="A1004" t="str">
            <v>Work Immersion/ Culminating Activity (for Academic Track)</v>
          </cell>
        </row>
        <row r="1005">
          <cell r="A1005" t="str">
            <v>TVL/ Sports/ Arts and Design Track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teachpinas.com/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www.teachpinas.com/" TargetMode="External" Id="rId1"/><Relationship Type="http://schemas.openxmlformats.org/officeDocument/2006/relationships/drawing" Target="/xl/drawings/drawing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 codeName="Sheet1">
    <tabColor rgb="FFC00000"/>
    <outlinePr summaryBelow="1" summaryRight="1"/>
    <pageSetUpPr/>
  </sheetPr>
  <dimension ref="A1:W82"/>
  <sheetViews>
    <sheetView showGridLines="0" zoomScale="142" zoomScaleNormal="100" workbookViewId="0">
      <pane ySplit="3" topLeftCell="A15" activePane="bottomLeft" state="frozen"/>
      <selection pane="bottomLeft" activeCell="D33" sqref="D33:N34"/>
    </sheetView>
  </sheetViews>
  <sheetFormatPr baseColWidth="8" defaultColWidth="0" defaultRowHeight="15" zeroHeight="1"/>
  <cols>
    <col width="3.7109375" customWidth="1" style="120" min="1" max="1"/>
    <col width="3.7109375" customWidth="1" style="121" min="2" max="2"/>
    <col width="3.7109375" customWidth="1" style="120" min="3" max="6"/>
    <col width="7.28515625" customWidth="1" style="120" min="7" max="20"/>
    <col width="3.7109375" customWidth="1" style="120" min="21" max="23"/>
    <col hidden="1" width="9.140625" customWidth="1" style="120" min="24" max="30"/>
  </cols>
  <sheetData>
    <row r="1" customFormat="1" s="123">
      <c r="A1" s="180" t="n"/>
      <c r="B1" s="124" t="n"/>
      <c r="C1" s="125" t="n"/>
      <c r="D1" s="125" t="n"/>
      <c r="E1" s="125" t="n"/>
      <c r="F1" s="126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95" t="n"/>
    </row>
    <row r="2" customFormat="1" s="123">
      <c r="A2" s="95" t="n"/>
      <c r="B2" s="124" t="n"/>
      <c r="C2" s="125" t="n"/>
      <c r="D2" s="125" t="n"/>
      <c r="E2" s="125" t="n"/>
      <c r="F2" s="126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95" t="n"/>
    </row>
    <row r="3" ht="26.25" customFormat="1" customHeight="1" s="123">
      <c r="A3" s="95" t="n"/>
      <c r="B3" s="98" t="inlineStr">
        <is>
          <t>Instructions: Accomplishing the Electronic Class Record (ECR) for SSHS</t>
        </is>
      </c>
      <c r="C3" s="125" t="n"/>
      <c r="D3" s="127" t="n"/>
      <c r="E3" s="125" t="n"/>
      <c r="F3" s="126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95" t="n"/>
    </row>
    <row r="4" customFormat="1" s="123">
      <c r="A4" s="95" t="n"/>
      <c r="B4" s="124" t="n"/>
      <c r="C4" s="125" t="n"/>
      <c r="D4" s="125" t="n"/>
      <c r="E4" s="125" t="n"/>
      <c r="F4" s="126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95" t="n"/>
    </row>
    <row r="5" customFormat="1" s="123">
      <c r="A5" s="95" t="n"/>
      <c r="B5" s="124" t="n"/>
      <c r="C5" s="125" t="n"/>
      <c r="D5" s="125" t="n"/>
      <c r="E5" s="125" t="n"/>
      <c r="F5" s="126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8" t="n"/>
      <c r="Q5" s="95" t="n"/>
    </row>
    <row r="6" ht="15.75" customHeight="1" thickBot="1"/>
    <row r="7" ht="15.75" customHeight="1">
      <c r="B7" s="142" t="n">
        <v>1</v>
      </c>
      <c r="C7" s="409" t="inlineStr">
        <is>
          <t>Input the correct data for the following sections. Any details entered here are used throughout the e-Class Record</t>
        </is>
      </c>
      <c r="D7" s="607" t="n"/>
      <c r="E7" s="607" t="n"/>
      <c r="F7" s="607" t="n"/>
      <c r="G7" s="607" t="n"/>
      <c r="H7" s="607" t="n"/>
      <c r="I7" s="607" t="n"/>
      <c r="J7" s="607" t="n"/>
      <c r="K7" s="607" t="n"/>
      <c r="L7" s="607" t="n"/>
      <c r="M7" s="607" t="n"/>
      <c r="N7" s="607" t="n"/>
      <c r="O7" s="607" t="n"/>
      <c r="P7" s="607" t="n"/>
      <c r="Q7" s="607" t="n"/>
      <c r="R7" s="607" t="n"/>
      <c r="S7" s="607" t="n"/>
      <c r="T7" s="607" t="n"/>
      <c r="U7" s="409" t="n"/>
      <c r="V7" s="144" t="n"/>
    </row>
    <row r="8" ht="15.75" customHeight="1">
      <c r="B8" s="145" t="n"/>
      <c r="U8" s="433" t="n"/>
      <c r="V8" s="146" t="n"/>
    </row>
    <row r="9">
      <c r="B9" s="147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46" t="n"/>
    </row>
    <row r="10">
      <c r="B10" s="155" t="n"/>
      <c r="C10" s="137" t="inlineStr">
        <is>
          <t>INPUT DATA</t>
        </is>
      </c>
      <c r="D10" s="138" t="n"/>
      <c r="E10" s="138" t="n"/>
      <c r="F10" s="138" t="n"/>
      <c r="G10" s="138" t="n"/>
      <c r="H10" s="138" t="n"/>
      <c r="I10" s="139" t="n"/>
      <c r="J10" s="123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46" t="n"/>
    </row>
    <row r="11">
      <c r="B11" s="150" t="n"/>
      <c r="C11" s="133" t="n"/>
      <c r="D11" s="133" t="n"/>
      <c r="E11" s="133" t="n"/>
      <c r="F11" s="133" t="n"/>
      <c r="G11" s="133" t="n"/>
      <c r="H11" s="133" t="n"/>
      <c r="I11" s="133" t="n"/>
      <c r="J11" s="133" t="n"/>
      <c r="K11" s="133" t="n"/>
      <c r="L11" s="133" t="n"/>
      <c r="M11" s="133" t="n"/>
      <c r="N11" s="133" t="n"/>
      <c r="O11" s="133" t="n"/>
      <c r="P11" s="133" t="n"/>
      <c r="Q11" s="129" t="n"/>
      <c r="R11" s="129" t="n"/>
      <c r="S11" s="129" t="n"/>
      <c r="T11" s="129" t="n"/>
      <c r="U11" s="129" t="n"/>
      <c r="V11" s="151" t="n"/>
    </row>
    <row r="12">
      <c r="B12" s="152" t="n"/>
      <c r="C12" s="121" t="inlineStr">
        <is>
          <t>A.</t>
        </is>
      </c>
      <c r="D12" s="121" t="inlineStr">
        <is>
          <t>SCHOOL INFO</t>
        </is>
      </c>
      <c r="V12" s="153" t="n"/>
    </row>
    <row r="13">
      <c r="B13" s="152" t="n"/>
      <c r="D13" s="120" t="n">
        <v>1</v>
      </c>
      <c r="E13" s="120" t="inlineStr">
        <is>
          <t>REGION</t>
        </is>
      </c>
      <c r="I13" s="130" t="inlineStr">
        <is>
          <t>:</t>
        </is>
      </c>
      <c r="J13" s="120" t="inlineStr">
        <is>
          <t>Select the Region where the school is located</t>
        </is>
      </c>
      <c r="V13" s="153" t="n"/>
    </row>
    <row r="14">
      <c r="B14" s="152" t="n"/>
      <c r="D14" s="120" t="n">
        <v>2</v>
      </c>
      <c r="E14" s="120" t="inlineStr">
        <is>
          <t>DIVISION</t>
        </is>
      </c>
      <c r="I14" s="130" t="inlineStr">
        <is>
          <t>:</t>
        </is>
      </c>
      <c r="J14" s="120" t="inlineStr">
        <is>
          <t>Input the respective Schools Division Office</t>
        </is>
      </c>
      <c r="V14" s="153" t="n"/>
    </row>
    <row r="15">
      <c r="B15" s="152" t="n"/>
      <c r="D15" s="120" t="n">
        <v>3</v>
      </c>
      <c r="E15" s="120" t="inlineStr">
        <is>
          <t>SCHOOL ID</t>
        </is>
      </c>
      <c r="I15" s="130" t="inlineStr">
        <is>
          <t>:</t>
        </is>
      </c>
      <c r="J15" s="120" t="inlineStr">
        <is>
          <t>Enter the six (6) digit school ID</t>
        </is>
      </c>
      <c r="V15" s="153" t="n"/>
    </row>
    <row r="16">
      <c r="B16" s="152" t="n"/>
      <c r="D16" s="120" t="n">
        <v>4</v>
      </c>
      <c r="E16" s="120" t="inlineStr">
        <is>
          <t>SCHOOL NAME</t>
        </is>
      </c>
      <c r="I16" s="130" t="inlineStr">
        <is>
          <t>:</t>
        </is>
      </c>
      <c r="J16" s="120" t="inlineStr">
        <is>
          <t>Enter the name of the school</t>
        </is>
      </c>
      <c r="V16" s="153" t="n"/>
    </row>
    <row r="17">
      <c r="B17" s="152" t="n"/>
      <c r="C17" s="131" t="n"/>
      <c r="D17" s="131" t="n">
        <v>5</v>
      </c>
      <c r="E17" s="131" t="inlineStr">
        <is>
          <t>SCHOOL YEAR</t>
        </is>
      </c>
      <c r="F17" s="131" t="n"/>
      <c r="G17" s="131" t="n"/>
      <c r="H17" s="131" t="n"/>
      <c r="I17" s="132" t="inlineStr">
        <is>
          <t>:</t>
        </is>
      </c>
      <c r="J17" s="131" t="inlineStr">
        <is>
          <t>Enter the current school year</t>
        </is>
      </c>
      <c r="K17" s="131" t="n"/>
      <c r="L17" s="131" t="n"/>
      <c r="M17" s="131" t="n"/>
      <c r="N17" s="131" t="n"/>
      <c r="O17" s="131" t="n"/>
      <c r="P17" s="131" t="n"/>
      <c r="Q17" s="131" t="n"/>
      <c r="R17" s="131" t="n"/>
      <c r="S17" s="131" t="n"/>
      <c r="T17" s="131" t="n"/>
      <c r="U17" s="131" t="n"/>
      <c r="V17" s="153" t="n"/>
    </row>
    <row r="18">
      <c r="B18" s="152" t="n"/>
      <c r="I18" s="130" t="n"/>
      <c r="V18" s="153" t="n"/>
    </row>
    <row r="19">
      <c r="B19" s="152" t="n"/>
      <c r="C19" s="121" t="inlineStr">
        <is>
          <t>B.</t>
        </is>
      </c>
      <c r="D19" s="121" t="inlineStr">
        <is>
          <t>TEACHER, GRADE LEVEL, AND SUBJECT AREA INFO</t>
        </is>
      </c>
      <c r="V19" s="153" t="n"/>
    </row>
    <row r="20">
      <c r="B20" s="152" t="n"/>
      <c r="D20" s="120" t="n">
        <v>1</v>
      </c>
      <c r="E20" s="120" t="inlineStr">
        <is>
          <t>TEACHER</t>
        </is>
      </c>
      <c r="J20" s="120" t="inlineStr">
        <is>
          <t>Enter the name of teacher's name</t>
        </is>
      </c>
      <c r="V20" s="153" t="n"/>
    </row>
    <row r="21">
      <c r="B21" s="152" t="n"/>
      <c r="D21" s="120" t="n">
        <v>2</v>
      </c>
      <c r="E21" s="120" t="inlineStr">
        <is>
          <t>GRADE LEVEL</t>
        </is>
      </c>
      <c r="J21" s="120" t="inlineStr">
        <is>
          <t>Input the grade level taught. This field only accepts 11 or 12.</t>
        </is>
      </c>
      <c r="V21" s="153" t="n"/>
    </row>
    <row r="22">
      <c r="B22" s="152" t="n"/>
      <c r="D22" s="120" t="n">
        <v>3</v>
      </c>
      <c r="E22" s="120" t="inlineStr">
        <is>
          <t>SECTION NAME</t>
        </is>
      </c>
      <c r="J22" s="120" t="inlineStr">
        <is>
          <t>Enter section name.</t>
        </is>
      </c>
      <c r="V22" s="153" t="n"/>
    </row>
    <row r="23">
      <c r="B23" s="152" t="n"/>
      <c r="D23" s="120" t="n">
        <v>4</v>
      </c>
      <c r="E23" s="120" t="inlineStr">
        <is>
          <t>SUBJECT TYPE</t>
        </is>
      </c>
      <c r="J23" s="120" t="inlineStr">
        <is>
          <t>Select the subject type.</t>
        </is>
      </c>
      <c r="V23" s="153" t="n"/>
    </row>
    <row r="24">
      <c r="B24" s="152" t="n"/>
      <c r="D24" s="120" t="n">
        <v>5</v>
      </c>
      <c r="E24" s="120" t="inlineStr">
        <is>
          <t>SUBJECT</t>
        </is>
      </c>
      <c r="J24" s="134" t="inlineStr">
        <is>
          <t>The selection for the subjects is dependent on the subject type selected.</t>
        </is>
      </c>
      <c r="V24" s="153" t="n"/>
    </row>
    <row r="25" ht="14.65" customHeight="1">
      <c r="B25" s="152" t="n"/>
      <c r="E25" s="243" t="n">
        <v>5.1</v>
      </c>
      <c r="F25" s="434" t="inlineStr">
        <is>
          <t>Other Elective and Special Curricular Program</t>
        </is>
      </c>
      <c r="I25" s="244" t="n"/>
      <c r="J25" s="434" t="inlineStr">
        <is>
          <t>If applicable, select “Other Elective and Special Curricular Program”, then enter the new elective or subject in the field provided.</t>
        </is>
      </c>
      <c r="V25" s="153" t="n"/>
    </row>
    <row r="26" ht="14.65" customHeight="1">
      <c r="B26" s="152" t="n"/>
      <c r="E26" s="244" t="n"/>
      <c r="I26" s="244" t="n"/>
      <c r="V26" s="153" t="n"/>
    </row>
    <row r="27">
      <c r="B27" s="152" t="n"/>
      <c r="J27" s="134" t="n"/>
      <c r="V27" s="153" t="n"/>
    </row>
    <row r="28" ht="15" customHeight="1">
      <c r="B28" s="152" t="n"/>
      <c r="C28" s="436" t="n"/>
      <c r="D28" s="436" t="inlineStr">
        <is>
          <t>As an additional guide, a note regarding where the computation of the final grade can be found will be displayed, depending on the selected subject type and grade level.</t>
        </is>
      </c>
      <c r="U28" s="436" t="n"/>
      <c r="V28" s="153" t="n"/>
    </row>
    <row r="29">
      <c r="B29" s="152" t="n"/>
      <c r="C29" s="436" t="n"/>
      <c r="U29" s="436" t="n"/>
      <c r="V29" s="153" t="n"/>
    </row>
    <row r="30">
      <c r="B30" s="152" t="n"/>
      <c r="C30" s="131" t="n"/>
      <c r="D30" s="131" t="n"/>
      <c r="E30" s="131" t="n"/>
      <c r="F30" s="131" t="n"/>
      <c r="G30" s="131" t="n"/>
      <c r="H30" s="131" t="n"/>
      <c r="I30" s="131" t="n"/>
      <c r="J30" s="131" t="n"/>
      <c r="K30" s="131" t="n"/>
      <c r="L30" s="131" t="n"/>
      <c r="M30" s="131" t="n"/>
      <c r="N30" s="131" t="n"/>
      <c r="O30" s="131" t="n"/>
      <c r="P30" s="131" t="n"/>
      <c r="Q30" s="131" t="n"/>
      <c r="R30" s="131" t="n"/>
      <c r="S30" s="131" t="n"/>
      <c r="T30" s="131" t="n"/>
      <c r="U30" s="131" t="n"/>
      <c r="V30" s="153" t="n"/>
    </row>
    <row r="31">
      <c r="B31" s="152" t="n"/>
      <c r="V31" s="153" t="n"/>
    </row>
    <row r="32">
      <c r="B32" s="152" t="n"/>
      <c r="C32" s="121" t="inlineStr">
        <is>
          <t>C.</t>
        </is>
      </c>
      <c r="D32" s="121" t="inlineStr">
        <is>
          <t>LEARNERS' NAMES</t>
        </is>
      </c>
      <c r="V32" s="153" t="n"/>
    </row>
    <row r="33" ht="13.9" customHeight="1">
      <c r="B33" s="152" t="n"/>
      <c r="D33" s="440" t="inlineStr">
        <is>
          <t>Either manually type learners' names or copy from SF1 and copy onto their respective column (Male or Female).</t>
        </is>
      </c>
      <c r="O33" s="181" t="n"/>
      <c r="P33" s="181" t="n"/>
      <c r="Q33" s="181" t="n"/>
      <c r="R33" s="181" t="n"/>
      <c r="S33" s="181" t="n"/>
      <c r="T33" s="181" t="n"/>
      <c r="U33" s="440" t="n"/>
      <c r="V33" s="153" t="n"/>
    </row>
    <row r="34" ht="13.9" customHeight="1">
      <c r="B34" s="152" t="n"/>
      <c r="O34" s="181" t="n"/>
      <c r="P34" s="181" t="n"/>
      <c r="Q34" s="181" t="n"/>
      <c r="R34" s="181" t="n"/>
      <c r="S34" s="181" t="n"/>
      <c r="T34" s="181" t="n"/>
      <c r="U34" s="440" t="n"/>
      <c r="V34" s="153" t="n"/>
    </row>
    <row r="35">
      <c r="B35" s="152" t="n"/>
      <c r="F35" s="134" t="n"/>
      <c r="V35" s="153" t="n"/>
    </row>
    <row r="36" ht="15.75" customHeight="1" thickBot="1">
      <c r="B36" s="163" t="n"/>
      <c r="C36" s="122" t="n"/>
      <c r="D36" s="122" t="n"/>
      <c r="E36" s="122" t="n"/>
      <c r="F36" s="164" t="n"/>
      <c r="G36" s="122" t="n"/>
      <c r="H36" s="122" t="n"/>
      <c r="I36" s="122" t="n"/>
      <c r="J36" s="122" t="n"/>
      <c r="K36" s="122" t="n"/>
      <c r="L36" s="122" t="n"/>
      <c r="M36" s="122" t="n"/>
      <c r="N36" s="122" t="n"/>
      <c r="O36" s="122" t="n"/>
      <c r="P36" s="122" t="n"/>
      <c r="Q36" s="122" t="n"/>
      <c r="R36" s="122" t="n"/>
      <c r="S36" s="122" t="n"/>
      <c r="T36" s="122" t="n"/>
      <c r="U36" s="122" t="n"/>
      <c r="V36" s="162" t="n"/>
    </row>
    <row r="37">
      <c r="B37" s="163" t="n"/>
      <c r="C37" s="122" t="n"/>
      <c r="D37" s="411" t="inlineStr">
        <is>
          <t>TIP:
Press Control + Shift + V to paste values only.</t>
        </is>
      </c>
      <c r="L37" s="122" t="n"/>
      <c r="M37" s="608" t="inlineStr">
        <is>
          <t>shift ↑</t>
        </is>
      </c>
      <c r="N37" s="609" t="n"/>
      <c r="O37" s="610" t="n"/>
      <c r="P37" s="611" t="inlineStr">
        <is>
          <t>Z</t>
        </is>
      </c>
      <c r="Q37" s="611" t="inlineStr">
        <is>
          <t>X</t>
        </is>
      </c>
      <c r="R37" s="611" t="inlineStr">
        <is>
          <t>C</t>
        </is>
      </c>
      <c r="S37" s="612" t="inlineStr">
        <is>
          <t>V</t>
        </is>
      </c>
      <c r="T37" s="122" t="n"/>
      <c r="U37" s="122" t="n"/>
      <c r="V37" s="162" t="n"/>
    </row>
    <row r="38" ht="15.75" customHeight="1" thickBot="1">
      <c r="B38" s="163" t="n"/>
      <c r="C38" s="122" t="n"/>
      <c r="L38" s="122" t="n"/>
      <c r="M38" s="613" t="n"/>
      <c r="N38" s="614" t="n"/>
      <c r="O38" s="615" t="n"/>
      <c r="P38" s="616" t="n"/>
      <c r="Q38" s="616" t="n"/>
      <c r="R38" s="616" t="n"/>
      <c r="S38" s="617" t="n"/>
      <c r="T38" s="122" t="n"/>
      <c r="U38" s="122" t="n"/>
      <c r="V38" s="162" t="n"/>
    </row>
    <row r="39">
      <c r="B39" s="163" t="n"/>
      <c r="C39" s="122" t="n"/>
      <c r="L39" s="122" t="n"/>
      <c r="M39" s="618" t="inlineStr">
        <is>
          <t>ctrl</t>
        </is>
      </c>
      <c r="N39" s="619" t="n"/>
      <c r="O39" s="86" t="n"/>
      <c r="P39" s="78" t="n"/>
      <c r="Q39" s="78" t="n"/>
      <c r="R39" s="78" t="n"/>
      <c r="S39" s="78" t="n"/>
      <c r="T39" s="122" t="n"/>
      <c r="U39" s="122" t="n"/>
      <c r="V39" s="162" t="n"/>
    </row>
    <row r="40" ht="15.75" customHeight="1" thickBot="1">
      <c r="B40" s="163" t="n"/>
      <c r="C40" s="122" t="n"/>
      <c r="L40" s="122" t="n"/>
      <c r="M40" s="613" t="n"/>
      <c r="N40" s="620" t="n"/>
      <c r="O40" s="86" t="n"/>
      <c r="P40" s="78" t="n"/>
      <c r="Q40" s="78" t="n"/>
      <c r="R40" s="78" t="n"/>
      <c r="S40" s="78" t="n"/>
      <c r="T40" s="122" t="n"/>
      <c r="U40" s="122" t="n"/>
      <c r="V40" s="162" t="n"/>
    </row>
    <row r="41" ht="15.75" customHeight="1" thickBot="1">
      <c r="B41" s="159" t="n"/>
      <c r="C41" s="160" t="n"/>
      <c r="D41" s="160" t="n"/>
      <c r="E41" s="160" t="n"/>
      <c r="F41" s="160" t="n"/>
      <c r="G41" s="160" t="n"/>
      <c r="H41" s="160" t="n"/>
      <c r="I41" s="160" t="n"/>
      <c r="J41" s="160" t="n"/>
      <c r="K41" s="160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1" t="n"/>
    </row>
    <row r="42" ht="15.75" customHeight="1" thickBot="1"/>
    <row r="43" ht="15.75" customHeight="1">
      <c r="B43" s="142" t="n">
        <v>2</v>
      </c>
      <c r="C43" s="409" t="inlineStr">
        <is>
          <t>Input the raw scores per term to compute for the term grades and annual final grades.</t>
        </is>
      </c>
      <c r="D43" s="607" t="n"/>
      <c r="E43" s="607" t="n"/>
      <c r="F43" s="607" t="n"/>
      <c r="G43" s="607" t="n"/>
      <c r="H43" s="607" t="n"/>
      <c r="I43" s="607" t="n"/>
      <c r="J43" s="607" t="n"/>
      <c r="K43" s="607" t="n"/>
      <c r="L43" s="607" t="n"/>
      <c r="M43" s="607" t="n"/>
      <c r="N43" s="607" t="n"/>
      <c r="O43" s="607" t="n"/>
      <c r="P43" s="607" t="n"/>
      <c r="Q43" s="607" t="n"/>
      <c r="R43" s="607" t="n"/>
      <c r="S43" s="607" t="n"/>
      <c r="T43" s="607" t="n"/>
      <c r="U43" s="409" t="n"/>
      <c r="V43" s="144" t="n"/>
    </row>
    <row r="44" ht="15.75" customHeight="1">
      <c r="B44" s="145" t="n"/>
      <c r="U44" s="433" t="n"/>
      <c r="V44" s="146" t="n"/>
    </row>
    <row r="45">
      <c r="B45" s="147" t="n"/>
      <c r="C45" s="123" t="n"/>
      <c r="D45" s="123" t="n"/>
      <c r="E45" s="123" t="n"/>
      <c r="F45" s="123" t="n"/>
      <c r="G45" s="123" t="n"/>
      <c r="H45" s="123" t="n"/>
      <c r="I45" s="123" t="n"/>
      <c r="J45" s="123" t="n"/>
      <c r="K45" s="123" t="n"/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46" t="n"/>
    </row>
    <row r="46">
      <c r="B46" s="148" t="n"/>
      <c r="C46" s="137" t="inlineStr">
        <is>
          <t>TERM GRADES</t>
        </is>
      </c>
      <c r="D46" s="138" t="n"/>
      <c r="E46" s="138" t="n"/>
      <c r="F46" s="138" t="n"/>
      <c r="G46" s="138" t="n"/>
      <c r="H46" s="138" t="n"/>
      <c r="I46" s="138" t="n"/>
      <c r="J46" s="140" t="n"/>
      <c r="K46" s="140" t="n"/>
      <c r="L46" s="140" t="n"/>
      <c r="M46" s="140" t="n"/>
      <c r="N46" s="140" t="n"/>
      <c r="O46" s="140" t="n"/>
      <c r="P46" s="140" t="n"/>
      <c r="Q46" s="140" t="n"/>
      <c r="R46" s="140" t="n"/>
      <c r="S46" s="140" t="n"/>
      <c r="T46" s="140" t="n"/>
      <c r="U46" s="140" t="n"/>
      <c r="V46" s="149" t="n"/>
    </row>
    <row r="47">
      <c r="B47" s="163" t="n"/>
      <c r="C47" s="122" t="n"/>
      <c r="D47" s="122" t="n"/>
      <c r="E47" s="122" t="n"/>
      <c r="F47" s="122" t="n"/>
      <c r="G47" s="122" t="n"/>
      <c r="H47" s="122" t="n"/>
      <c r="I47" s="122" t="n"/>
      <c r="J47" s="122" t="n"/>
      <c r="K47" s="122" t="n"/>
      <c r="L47" s="122" t="n"/>
      <c r="M47" s="122" t="n"/>
      <c r="N47" s="122" t="n"/>
      <c r="O47" s="122" t="n"/>
      <c r="P47" s="122" t="n"/>
      <c r="Q47" s="122" t="n"/>
      <c r="R47" s="122" t="n"/>
      <c r="S47" s="122" t="n"/>
      <c r="T47" s="122" t="n"/>
      <c r="U47" s="255" t="n"/>
      <c r="V47" s="162" t="n"/>
    </row>
    <row r="48">
      <c r="B48" s="163" t="n"/>
      <c r="C48" s="122" t="n"/>
      <c r="D48" s="122" t="n"/>
      <c r="E48" s="122" t="n"/>
      <c r="F48" s="122" t="n"/>
      <c r="G48" s="122" t="n"/>
      <c r="H48" s="122" t="n"/>
      <c r="I48" s="122" t="n"/>
      <c r="J48" s="122" t="n"/>
      <c r="K48" s="122" t="n"/>
      <c r="L48" s="122" t="n"/>
      <c r="M48" s="122" t="n"/>
      <c r="N48" s="122" t="n"/>
      <c r="O48" s="122" t="n"/>
      <c r="P48" s="122" t="n"/>
      <c r="Q48" s="122" t="n"/>
      <c r="R48" s="122" t="n"/>
      <c r="S48" s="122" t="n"/>
      <c r="T48" s="122" t="n"/>
      <c r="U48" s="122" t="n"/>
      <c r="V48" s="162" t="n"/>
    </row>
    <row r="49">
      <c r="B49" s="163" t="n"/>
      <c r="C49" s="122" t="n"/>
      <c r="D49" s="122" t="n"/>
      <c r="E49" s="122" t="n"/>
      <c r="F49" s="122" t="n"/>
      <c r="G49" s="122" t="n"/>
      <c r="H49" s="122" t="n"/>
      <c r="I49" s="122" t="n"/>
      <c r="J49" s="122" t="n"/>
      <c r="K49" s="122" t="n"/>
      <c r="L49" s="122" t="n"/>
      <c r="M49" s="122" t="n"/>
      <c r="N49" s="122" t="n"/>
      <c r="O49" s="122" t="n"/>
      <c r="P49" s="122" t="n"/>
      <c r="Q49" s="122" t="n"/>
      <c r="R49" s="122" t="n"/>
      <c r="S49" s="122" t="n"/>
      <c r="T49" s="122" t="n"/>
      <c r="U49" s="122" t="n"/>
      <c r="V49" s="162" t="n"/>
    </row>
    <row r="50">
      <c r="B50" s="163" t="n"/>
      <c r="C50" s="122" t="n"/>
      <c r="D50" s="122" t="n"/>
      <c r="E50" s="122" t="n"/>
      <c r="F50" s="122" t="n"/>
      <c r="G50" s="122" t="n"/>
      <c r="H50" s="122" t="n"/>
      <c r="I50" s="122" t="n"/>
      <c r="J50" s="122" t="n"/>
      <c r="K50" s="122" t="n"/>
      <c r="L50" s="122" t="n"/>
      <c r="M50" s="122" t="n"/>
      <c r="N50" s="122" t="n"/>
      <c r="O50" s="122" t="n"/>
      <c r="P50" s="122" t="n"/>
      <c r="Q50" s="122" t="n"/>
      <c r="R50" s="122" t="n"/>
      <c r="S50" s="122" t="n"/>
      <c r="T50" s="122" t="n"/>
      <c r="U50" s="122" t="n"/>
      <c r="V50" s="162" t="n"/>
    </row>
    <row r="51">
      <c r="B51" s="163" t="n"/>
      <c r="C51" s="122" t="n"/>
      <c r="D51" s="122" t="n"/>
      <c r="E51" s="122" t="n"/>
      <c r="F51" s="122" t="n"/>
      <c r="G51" s="122" t="n"/>
      <c r="H51" s="122" t="n"/>
      <c r="I51" s="122" t="n"/>
      <c r="J51" s="122" t="n"/>
      <c r="K51" s="122" t="n"/>
      <c r="L51" s="122" t="n"/>
      <c r="M51" s="122" t="n"/>
      <c r="N51" s="122" t="n"/>
      <c r="O51" s="122" t="n"/>
      <c r="P51" s="122" t="n"/>
      <c r="Q51" s="122" t="n"/>
      <c r="R51" s="122" t="n"/>
      <c r="S51" s="122" t="n"/>
      <c r="T51" s="122" t="n"/>
      <c r="U51" s="122" t="n"/>
      <c r="V51" s="162" t="n"/>
    </row>
    <row r="52">
      <c r="B52" s="163" t="n"/>
      <c r="C52" s="122" t="n"/>
      <c r="D52" s="122" t="n"/>
      <c r="E52" s="122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22" t="n"/>
      <c r="S52" s="122" t="n"/>
      <c r="T52" s="122" t="n"/>
      <c r="U52" s="122" t="n"/>
      <c r="V52" s="162" t="n"/>
    </row>
    <row r="53">
      <c r="B53" s="163" t="n"/>
      <c r="C53" s="122" t="n"/>
      <c r="D53" s="122" t="n"/>
      <c r="E53" s="122" t="n"/>
      <c r="F53" s="122" t="n"/>
      <c r="G53" s="122" t="n"/>
      <c r="H53" s="122" t="n"/>
      <c r="I53" s="122" t="n"/>
      <c r="J53" s="122" t="n"/>
      <c r="K53" s="122" t="n"/>
      <c r="L53" s="122" t="n"/>
      <c r="M53" s="122" t="n"/>
      <c r="N53" s="122" t="n"/>
      <c r="O53" s="122" t="n"/>
      <c r="P53" s="122" t="n"/>
      <c r="Q53" s="122" t="n"/>
      <c r="R53" s="122" t="n"/>
      <c r="S53" s="122" t="n"/>
      <c r="T53" s="122" t="n"/>
      <c r="U53" s="122" t="n"/>
      <c r="V53" s="162" t="n"/>
    </row>
    <row r="54">
      <c r="B54" s="163" t="n"/>
      <c r="C54" s="122" t="n"/>
      <c r="D54" s="122" t="n"/>
      <c r="E54" s="122" t="n"/>
      <c r="F54" s="122" t="n"/>
      <c r="G54" s="122" t="n"/>
      <c r="H54" s="122" t="n"/>
      <c r="I54" s="122" t="n"/>
      <c r="J54" s="122" t="n"/>
      <c r="K54" s="122" t="n"/>
      <c r="L54" s="122" t="n"/>
      <c r="M54" s="122" t="n"/>
      <c r="N54" s="122" t="n"/>
      <c r="O54" s="122" t="n"/>
      <c r="P54" s="122" t="n"/>
      <c r="Q54" s="122" t="n"/>
      <c r="R54" s="122" t="n"/>
      <c r="S54" s="122" t="n"/>
      <c r="T54" s="122" t="n"/>
      <c r="U54" s="257" t="n"/>
      <c r="V54" s="162" t="n"/>
    </row>
    <row r="55">
      <c r="B55" s="252" t="n"/>
      <c r="C55" s="417" t="inlineStr">
        <is>
          <t>INSTRUCTIONS</t>
        </is>
      </c>
      <c r="D55" s="621" t="n"/>
      <c r="E55" s="621" t="n"/>
      <c r="F55" s="622" t="n"/>
      <c r="G55" s="416" t="inlineStr">
        <is>
          <t>DATA INPUT</t>
        </is>
      </c>
      <c r="H55" s="622" t="n"/>
      <c r="I55" s="288" t="inlineStr">
        <is>
          <t>TERM 1</t>
        </is>
      </c>
      <c r="J55" s="288" t="inlineStr">
        <is>
          <t>TERM 2</t>
        </is>
      </c>
      <c r="K55" s="289" t="inlineStr">
        <is>
          <t>TERM 3</t>
        </is>
      </c>
      <c r="L55" s="289" t="inlineStr">
        <is>
          <t>AVE</t>
        </is>
      </c>
      <c r="M55" s="623" t="n"/>
      <c r="N55" s="621" t="n"/>
      <c r="O55" s="621" t="n"/>
      <c r="P55" s="621" t="n"/>
      <c r="Q55" s="621" t="n"/>
      <c r="R55" s="621" t="n"/>
      <c r="S55" s="621" t="n"/>
      <c r="T55" s="621" t="n"/>
      <c r="U55" s="622" t="n"/>
      <c r="V55" s="153" t="n"/>
    </row>
    <row r="56">
      <c r="B56" s="152" t="n"/>
      <c r="U56" s="256" t="n"/>
      <c r="V56" s="153" t="n"/>
    </row>
    <row r="57">
      <c r="B57" s="152" t="n"/>
      <c r="C57" s="253" t="n"/>
      <c r="D57" s="121" t="inlineStr">
        <is>
          <t>HIGHEST POSSIBLE SCORE</t>
        </is>
      </c>
      <c r="J57" s="120" t="inlineStr">
        <is>
          <t>Input the highest possible score for each grading component.</t>
        </is>
      </c>
      <c r="V57" s="153" t="n"/>
    </row>
    <row r="58">
      <c r="B58" s="152" t="n"/>
      <c r="C58" s="254" t="n"/>
      <c r="D58" s="121" t="inlineStr">
        <is>
          <t>ACTUAL SCORE</t>
        </is>
      </c>
      <c r="J58" s="120" t="inlineStr">
        <is>
          <t>For each learner, input the actual score accordingly.</t>
        </is>
      </c>
      <c r="V58" s="153" t="n"/>
    </row>
    <row r="59">
      <c r="B59" s="152" t="n"/>
      <c r="V59" s="153" t="n"/>
    </row>
    <row r="60">
      <c r="B60" s="152" t="n"/>
      <c r="C60" s="436" t="n"/>
      <c r="D60" s="436" t="inlineStr">
        <is>
          <t>The INITIAL GRADE  will be computed and TRANSMUTED when all required grading components have been completed.</t>
        </is>
      </c>
      <c r="U60" s="436" t="n"/>
      <c r="V60" s="153" t="n"/>
    </row>
    <row r="61" ht="15" customHeight="1">
      <c r="B61" s="152" t="n"/>
      <c r="C61" s="436" t="n"/>
      <c r="U61" s="436" t="n"/>
      <c r="V61" s="153" t="n"/>
    </row>
    <row r="62">
      <c r="B62" s="152" t="n"/>
      <c r="V62" s="153" t="n"/>
    </row>
    <row r="63">
      <c r="B63" s="249" t="n"/>
      <c r="C63" s="250" t="n"/>
      <c r="D63" s="250" t="n"/>
      <c r="E63" s="250" t="n"/>
      <c r="F63" s="250" t="n"/>
      <c r="G63" s="250" t="n"/>
      <c r="H63" s="250" t="n"/>
      <c r="I63" s="250" t="n"/>
      <c r="J63" s="250" t="n"/>
      <c r="K63" s="250" t="n"/>
      <c r="L63" s="250" t="n"/>
      <c r="M63" s="250" t="n"/>
      <c r="N63" s="250" t="n"/>
      <c r="O63" s="250" t="n"/>
      <c r="P63" s="250" t="n"/>
      <c r="Q63" s="250" t="n"/>
      <c r="R63" s="250" t="n"/>
      <c r="S63" s="250" t="n"/>
      <c r="T63" s="250" t="n"/>
      <c r="U63" s="250" t="n"/>
      <c r="V63" s="251" t="n"/>
    </row>
    <row r="64">
      <c r="B64" s="245" t="n"/>
      <c r="C64" s="248" t="inlineStr">
        <is>
          <t>!</t>
        </is>
      </c>
      <c r="D64" s="246" t="inlineStr">
        <is>
          <t>The weights of the grading components differ depending on the selected Subject type.</t>
        </is>
      </c>
      <c r="E64" s="246" t="n"/>
      <c r="F64" s="246" t="n"/>
      <c r="G64" s="246" t="n"/>
      <c r="H64" s="246" t="n"/>
      <c r="I64" s="246" t="n"/>
      <c r="J64" s="246" t="n"/>
      <c r="K64" s="246" t="n"/>
      <c r="L64" s="246" t="n"/>
      <c r="M64" s="246" t="n"/>
      <c r="N64" s="246" t="n"/>
      <c r="O64" s="246" t="n"/>
      <c r="P64" s="246" t="n"/>
      <c r="Q64" s="246" t="n"/>
      <c r="R64" s="246" t="n"/>
      <c r="S64" s="246" t="n"/>
      <c r="T64" s="246" t="n"/>
      <c r="U64" s="246" t="n"/>
      <c r="V64" s="247" t="n"/>
    </row>
    <row r="65">
      <c r="B65" s="245" t="n"/>
      <c r="C65" s="248" t="n"/>
      <c r="D65" s="246" t="n"/>
      <c r="E65" s="246" t="n"/>
      <c r="F65" s="246" t="n"/>
      <c r="G65" s="246" t="n"/>
      <c r="H65" s="246" t="n"/>
      <c r="I65" s="246" t="n"/>
      <c r="J65" s="246" t="n"/>
      <c r="K65" s="246" t="n"/>
      <c r="L65" s="246" t="n"/>
      <c r="M65" s="246" t="n"/>
      <c r="N65" s="246" t="n"/>
      <c r="O65" s="246" t="n"/>
      <c r="P65" s="246" t="n"/>
      <c r="Q65" s="246" t="n"/>
      <c r="R65" s="246" t="n"/>
      <c r="S65" s="246" t="n"/>
      <c r="T65" s="246" t="n"/>
      <c r="U65" s="246" t="n"/>
      <c r="V65" s="247" t="n"/>
    </row>
    <row r="66">
      <c r="B66" s="245" t="n"/>
      <c r="C66" s="248" t="n"/>
      <c r="D66" s="246" t="n"/>
      <c r="E66" s="246" t="n"/>
      <c r="F66" s="246" t="n"/>
      <c r="G66" s="246" t="n"/>
      <c r="H66" s="246" t="n"/>
      <c r="I66" s="246" t="n"/>
      <c r="J66" s="246" t="n"/>
      <c r="K66" s="413" t="inlineStr">
        <is>
          <t>CORE</t>
        </is>
      </c>
      <c r="L66" s="624" t="n"/>
      <c r="M66" s="413" t="inlineStr">
        <is>
          <t>Academic Electives</t>
        </is>
      </c>
      <c r="N66" s="625" t="n"/>
      <c r="O66" s="625" t="n"/>
      <c r="P66" s="626" t="n"/>
      <c r="Q66" s="413" t="inlineStr">
        <is>
          <t>TechPro Electives</t>
        </is>
      </c>
      <c r="R66" s="625" t="n"/>
      <c r="S66" s="625" t="n"/>
      <c r="T66" s="626" t="n"/>
      <c r="U66" s="246" t="n"/>
      <c r="V66" s="247" t="n"/>
    </row>
    <row r="67" ht="36" customHeight="1">
      <c r="B67" s="245" t="n"/>
      <c r="C67" s="248" t="n"/>
      <c r="D67" s="246" t="n"/>
      <c r="E67" s="246" t="n"/>
      <c r="F67" s="246" t="n"/>
      <c r="G67" s="246" t="n"/>
      <c r="H67" s="246" t="n"/>
      <c r="I67" s="246" t="n"/>
      <c r="J67" s="246" t="n"/>
      <c r="K67" s="627" t="n"/>
      <c r="L67" s="628" t="n"/>
      <c r="M67" s="412" t="inlineStr">
        <is>
          <t>All Other Electives</t>
        </is>
      </c>
      <c r="N67" s="624" t="n"/>
      <c r="O67" s="412" t="inlineStr">
        <is>
          <t>Field Experience / Exposure
Sports and Arts</t>
        </is>
      </c>
      <c r="P67" s="624" t="n"/>
      <c r="Q67" s="412" t="inlineStr">
        <is>
          <t>All Other Electives</t>
        </is>
      </c>
      <c r="R67" s="624" t="n"/>
      <c r="S67" s="412" t="inlineStr">
        <is>
          <t>Work Immersion</t>
        </is>
      </c>
      <c r="T67" s="624" t="n"/>
      <c r="U67" s="246" t="n"/>
      <c r="V67" s="247" t="n"/>
    </row>
    <row r="68">
      <c r="B68" s="245" t="n"/>
      <c r="C68" s="246" t="n"/>
      <c r="D68" s="246" t="n"/>
      <c r="E68" s="629" t="inlineStr">
        <is>
          <t>WRITTEN WORK</t>
        </is>
      </c>
      <c r="F68" s="625" t="n"/>
      <c r="G68" s="625" t="n"/>
      <c r="H68" s="625" t="n"/>
      <c r="I68" s="625" t="n"/>
      <c r="J68" s="626" t="n"/>
      <c r="K68" s="415" t="n">
        <v>0.2</v>
      </c>
      <c r="L68" s="626" t="n"/>
      <c r="M68" s="415" t="n">
        <v>0.2</v>
      </c>
      <c r="N68" s="626" t="n"/>
      <c r="O68" s="415" t="n">
        <v>0.15</v>
      </c>
      <c r="P68" s="626" t="n"/>
      <c r="Q68" s="415" t="n">
        <v>0.15</v>
      </c>
      <c r="R68" s="626" t="n"/>
      <c r="S68" s="415" t="n">
        <v>0.2</v>
      </c>
      <c r="T68" s="626" t="n"/>
      <c r="U68" s="246" t="n"/>
      <c r="V68" s="247" t="n"/>
    </row>
    <row r="69">
      <c r="B69" s="245" t="n"/>
      <c r="C69" s="246" t="n"/>
      <c r="D69" s="246" t="n"/>
      <c r="E69" s="629" t="inlineStr">
        <is>
          <t>PERFORMANCE TASK</t>
        </is>
      </c>
      <c r="F69" s="625" t="n"/>
      <c r="G69" s="625" t="n"/>
      <c r="H69" s="625" t="n"/>
      <c r="I69" s="625" t="n"/>
      <c r="J69" s="626" t="n"/>
      <c r="K69" s="415" t="n">
        <v>0.5</v>
      </c>
      <c r="L69" s="626" t="n"/>
      <c r="M69" s="415" t="n">
        <v>0.5</v>
      </c>
      <c r="N69" s="626" t="n"/>
      <c r="O69" s="415" t="n">
        <v>0.7</v>
      </c>
      <c r="P69" s="626" t="n"/>
      <c r="Q69" s="415" t="n">
        <v>0.65</v>
      </c>
      <c r="R69" s="626" t="n"/>
      <c r="S69" s="415" t="n">
        <v>0.8</v>
      </c>
      <c r="T69" s="626" t="n"/>
      <c r="U69" s="246" t="n"/>
      <c r="V69" s="247" t="n"/>
    </row>
    <row r="70">
      <c r="B70" s="245" t="n"/>
      <c r="C70" s="246" t="n"/>
      <c r="D70" s="246" t="n"/>
      <c r="E70" s="629" t="inlineStr">
        <is>
          <t>QUARTERLY ASSESSMENT</t>
        </is>
      </c>
      <c r="F70" s="625" t="n"/>
      <c r="G70" s="625" t="n"/>
      <c r="H70" s="625" t="n"/>
      <c r="I70" s="625" t="n"/>
      <c r="J70" s="626" t="n"/>
      <c r="K70" s="415" t="n">
        <v>0.3</v>
      </c>
      <c r="L70" s="626" t="n"/>
      <c r="M70" s="415" t="n">
        <v>0.3</v>
      </c>
      <c r="N70" s="626" t="n"/>
      <c r="O70" s="415" t="n">
        <v>0.15</v>
      </c>
      <c r="P70" s="626" t="n"/>
      <c r="Q70" s="415" t="n">
        <v>0.2</v>
      </c>
      <c r="R70" s="626" t="n"/>
      <c r="S70" s="441" t="n"/>
      <c r="T70" s="626" t="n"/>
      <c r="U70" s="246" t="n"/>
      <c r="V70" s="247" t="n"/>
    </row>
    <row r="71">
      <c r="B71" s="245" t="n"/>
      <c r="C71" s="246" t="n"/>
      <c r="D71" s="246" t="n"/>
      <c r="E71" s="246" t="n"/>
      <c r="F71" s="246" t="n"/>
      <c r="G71" s="246" t="n"/>
      <c r="H71" s="246" t="n"/>
      <c r="I71" s="246" t="n"/>
      <c r="J71" s="246" t="n"/>
      <c r="K71" s="435">
        <f>SUM(K68:K70)</f>
        <v/>
      </c>
      <c r="L71" s="626" t="n"/>
      <c r="M71" s="435">
        <f>SUM(M68:M70)</f>
        <v/>
      </c>
      <c r="N71" s="626" t="n"/>
      <c r="O71" s="435">
        <f>SUM(O68:O70)</f>
        <v/>
      </c>
      <c r="P71" s="626" t="n"/>
      <c r="Q71" s="435">
        <f>SUM(Q68:Q70)</f>
        <v/>
      </c>
      <c r="R71" s="626" t="n"/>
      <c r="S71" s="435">
        <f>SUM(S68:S70)</f>
        <v/>
      </c>
      <c r="T71" s="626" t="n"/>
      <c r="U71" s="246" t="n"/>
      <c r="V71" s="247" t="n"/>
    </row>
    <row r="72" ht="15.75" customHeight="1" thickBot="1">
      <c r="B72" s="258" t="n"/>
      <c r="C72" s="259" t="n"/>
      <c r="D72" s="259" t="n"/>
      <c r="E72" s="259" t="n"/>
      <c r="F72" s="259" t="n"/>
      <c r="G72" s="259" t="n"/>
      <c r="H72" s="259" t="n"/>
      <c r="I72" s="259" t="n"/>
      <c r="J72" s="259" t="n"/>
      <c r="K72" s="259" t="n"/>
      <c r="L72" s="259" t="n"/>
      <c r="M72" s="259" t="n"/>
      <c r="N72" s="259" t="n"/>
      <c r="O72" s="259" t="n"/>
      <c r="P72" s="259" t="n"/>
      <c r="Q72" s="259" t="n"/>
      <c r="R72" s="259" t="n"/>
      <c r="S72" s="259" t="n"/>
      <c r="T72" s="259" t="n"/>
      <c r="U72" s="259" t="n"/>
      <c r="V72" s="260" t="n"/>
    </row>
    <row r="74" ht="15.75" customHeight="1" thickBot="1"/>
    <row r="75" ht="15.75" customHeight="1">
      <c r="B75" s="142" t="n">
        <v>3</v>
      </c>
      <c r="C75" s="630" t="inlineStr">
        <is>
          <t>Print only the appropriate sheets for reporting purposes and ensure that learner data is handled in compliance with data privacy policies.</t>
        </is>
      </c>
      <c r="D75" s="607" t="n"/>
      <c r="E75" s="607" t="n"/>
      <c r="F75" s="607" t="n"/>
      <c r="G75" s="607" t="n"/>
      <c r="H75" s="607" t="n"/>
      <c r="I75" s="607" t="n"/>
      <c r="J75" s="607" t="n"/>
      <c r="K75" s="607" t="n"/>
      <c r="L75" s="607" t="n"/>
      <c r="M75" s="607" t="n"/>
      <c r="N75" s="607" t="n"/>
      <c r="O75" s="607" t="n"/>
      <c r="P75" s="607" t="n"/>
      <c r="Q75" s="607" t="n"/>
      <c r="R75" s="607" t="n"/>
      <c r="S75" s="607" t="n"/>
      <c r="T75" s="607" t="n"/>
      <c r="U75" s="409" t="n"/>
      <c r="V75" s="144" t="n"/>
    </row>
    <row r="76" ht="16.5" customHeight="1" thickBot="1">
      <c r="B76" s="156" t="n"/>
      <c r="C76" s="631" t="n"/>
      <c r="D76" s="631" t="n"/>
      <c r="E76" s="631" t="n"/>
      <c r="F76" s="631" t="n"/>
      <c r="G76" s="631" t="n"/>
      <c r="H76" s="631" t="n"/>
      <c r="I76" s="631" t="n"/>
      <c r="J76" s="631" t="n"/>
      <c r="K76" s="631" t="n"/>
      <c r="L76" s="631" t="n"/>
      <c r="M76" s="631" t="n"/>
      <c r="N76" s="631" t="n"/>
      <c r="O76" s="631" t="n"/>
      <c r="P76" s="631" t="n"/>
      <c r="Q76" s="631" t="n"/>
      <c r="R76" s="631" t="n"/>
      <c r="S76" s="631" t="n"/>
      <c r="T76" s="631" t="n"/>
      <c r="U76" s="410" t="n"/>
      <c r="V76" s="158" t="n"/>
    </row>
    <row r="78" ht="14.25" customHeight="1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</row>
    <row r="81">
      <c r="C81" s="121" t="inlineStr">
        <is>
          <t>TEACH PINAS</t>
        </is>
      </c>
    </row>
    <row r="82">
      <c r="C82" s="348" t="inlineStr">
        <is>
          <t>www.teachpinas.com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pZfnk20OHz+7m6CtPKKDNw==" formatRows="1" sort="1" spinCount="100000" hashValue="0ZhJ32yHPLoUIpfOdSWVUptFKzy9RCJyaVfLe+2cOy4NIup2T14NLuwuoZMvtSOeBpkXpkTNtATkjyPXgdTHVg=="/>
  <mergeCells count="48">
    <mergeCell ref="J25:U26"/>
    <mergeCell ref="K68:L68"/>
    <mergeCell ref="M68:N68"/>
    <mergeCell ref="C7:T8"/>
    <mergeCell ref="O68:P68"/>
    <mergeCell ref="Q68:R68"/>
    <mergeCell ref="E69:J69"/>
    <mergeCell ref="M67:N67"/>
    <mergeCell ref="Q71:R71"/>
    <mergeCell ref="S71:T71"/>
    <mergeCell ref="D28:T29"/>
    <mergeCell ref="D37:K40"/>
    <mergeCell ref="D33:N34"/>
    <mergeCell ref="M70:N70"/>
    <mergeCell ref="S70:T70"/>
    <mergeCell ref="Q66:T66"/>
    <mergeCell ref="M66:P66"/>
    <mergeCell ref="K66:L67"/>
    <mergeCell ref="M69:N69"/>
    <mergeCell ref="Q67:R67"/>
    <mergeCell ref="S67:T67"/>
    <mergeCell ref="E70:J70"/>
    <mergeCell ref="R37:R38"/>
    <mergeCell ref="S37:S38"/>
    <mergeCell ref="F25:H26"/>
    <mergeCell ref="O69:P69"/>
    <mergeCell ref="Q69:R69"/>
    <mergeCell ref="S69:T69"/>
    <mergeCell ref="S68:T68"/>
    <mergeCell ref="D60:T61"/>
    <mergeCell ref="K71:L71"/>
    <mergeCell ref="O71:P71"/>
    <mergeCell ref="P37:P38"/>
    <mergeCell ref="K70:L70"/>
    <mergeCell ref="C75:T76"/>
    <mergeCell ref="C55:F55"/>
    <mergeCell ref="M39:N40"/>
    <mergeCell ref="E68:J68"/>
    <mergeCell ref="O70:P70"/>
    <mergeCell ref="G55:H55"/>
    <mergeCell ref="Q70:R70"/>
    <mergeCell ref="M55:U55"/>
    <mergeCell ref="M37:O38"/>
    <mergeCell ref="O67:P67"/>
    <mergeCell ref="M71:N71"/>
    <mergeCell ref="K69:L69"/>
    <mergeCell ref="C43:T44"/>
    <mergeCell ref="Q37:Q38"/>
  </mergeCells>
  <hyperlinks>
    <hyperlink xmlns:r="http://schemas.openxmlformats.org/officeDocument/2006/relationships" ref="C82" r:id="rId1"/>
  </hyperlinks>
  <pageMargins left="0.7" right="0.7" top="0.75" bottom="0.75" header="0.3" footer="0.3"/>
  <pageSetup orientation="portrait" paperSize="14" horizontalDpi="0" verticalDpi="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Sheet10">
    <tabColor theme="4" tint="-0.499984740745262"/>
    <outlinePr summaryBelow="1" summaryRight="1"/>
    <pageSetUpPr fitToPage="1"/>
  </sheetPr>
  <dimension ref="A1:Q69"/>
  <sheetViews>
    <sheetView showGridLines="0" topLeftCell="D1" zoomScale="121" zoomScaleNormal="100" workbookViewId="0">
      <pane ySplit="3" topLeftCell="A14" activePane="bottomLeft" state="frozen"/>
      <selection pane="bottomLeft" activeCell="L12" sqref="L12"/>
    </sheetView>
  </sheetViews>
  <sheetFormatPr baseColWidth="8" defaultColWidth="0" defaultRowHeight="15" zeroHeight="1"/>
  <cols>
    <col width="3.7109375" customWidth="1" style="71" min="1" max="1"/>
    <col width="3.7109375" customWidth="1" style="73" min="2" max="2"/>
    <col width="10.7109375" customWidth="1" style="71" min="3" max="3"/>
    <col width="10.7109375" customWidth="1" style="392" min="4" max="4"/>
    <col width="2.7109375" customWidth="1" style="75" min="5" max="5"/>
    <col width="19.28515625" customWidth="1" style="74" min="6" max="6"/>
    <col width="21.42578125" customWidth="1" style="74" min="7" max="7"/>
    <col width="3.7109375" customWidth="1" style="71" min="8" max="9"/>
    <col width="3.7109375" customWidth="1" style="74" min="10" max="10"/>
    <col width="3.7109375" customWidth="1" style="71" min="11" max="11"/>
    <col width="35.7109375" customWidth="1" style="71" min="12" max="12"/>
    <col width="3.7109375" customWidth="1" style="71" min="13" max="14"/>
    <col width="35.7109375" customWidth="1" style="71" min="15" max="15"/>
    <col width="3.7109375" customWidth="1" style="71" min="16" max="17"/>
    <col hidden="1" width="9.140625" customWidth="1" style="71" min="18" max="19"/>
    <col hidden="1" style="71" min="20" max="25"/>
  </cols>
  <sheetData>
    <row r="1" ht="15" customHeight="1">
      <c r="A1" s="165" t="n"/>
      <c r="B1" s="103" t="n"/>
      <c r="C1" s="96" t="n"/>
      <c r="D1" s="96" t="n"/>
      <c r="E1" s="96" t="n"/>
      <c r="F1" s="97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5" t="n"/>
    </row>
    <row r="2" ht="15" customHeight="1">
      <c r="A2" s="95" t="n"/>
      <c r="B2" s="103" t="n"/>
      <c r="C2" s="96" t="n"/>
      <c r="D2" s="96" t="n"/>
      <c r="E2" s="96" t="n"/>
      <c r="F2" s="97" t="n"/>
      <c r="G2" s="96" t="n"/>
      <c r="H2" s="96" t="n"/>
      <c r="I2" s="96" t="n"/>
      <c r="J2" s="96" t="n"/>
      <c r="K2" s="96" t="n"/>
      <c r="L2" s="96" t="n"/>
      <c r="M2" s="96" t="n"/>
      <c r="N2" s="96" t="n"/>
      <c r="O2" s="96" t="n"/>
      <c r="P2" s="96" t="n"/>
      <c r="Q2" s="95" t="n"/>
    </row>
    <row r="3" ht="26.25" customHeight="1">
      <c r="A3" s="95" t="n"/>
      <c r="B3" s="103" t="n"/>
      <c r="C3" s="96" t="n"/>
      <c r="D3" s="98" t="inlineStr">
        <is>
          <t>Input Data Sheet for Electronic-Class Record (ECR) for SSHS</t>
        </is>
      </c>
      <c r="E3" s="96" t="n"/>
      <c r="F3" s="97" t="n"/>
      <c r="G3" s="96" t="n"/>
      <c r="H3" s="96" t="n"/>
      <c r="I3" s="96" t="n"/>
      <c r="J3" s="96" t="n"/>
      <c r="K3" s="96" t="n"/>
      <c r="L3" s="96" t="n"/>
      <c r="M3" s="96" t="n"/>
      <c r="N3" s="96" t="n"/>
      <c r="O3" s="96" t="n"/>
      <c r="P3" s="96" t="n"/>
      <c r="Q3" s="95" t="n"/>
    </row>
    <row r="4" ht="15" customHeight="1">
      <c r="A4" s="95" t="n"/>
      <c r="B4" s="103" t="n"/>
      <c r="C4" s="96" t="n"/>
      <c r="D4" s="96" t="n"/>
      <c r="E4" s="96" t="n"/>
      <c r="F4" s="97" t="n"/>
      <c r="G4" s="96" t="n"/>
      <c r="H4" s="96" t="n"/>
      <c r="I4" s="96" t="n"/>
      <c r="J4" s="96" t="n"/>
      <c r="K4" s="96" t="n"/>
      <c r="L4" s="96" t="n"/>
      <c r="M4" s="96" t="n"/>
      <c r="N4" s="96" t="n"/>
      <c r="O4" s="96" t="n"/>
      <c r="P4" s="96" t="n"/>
      <c r="Q4" s="95" t="n"/>
    </row>
    <row r="5" ht="15" customHeight="1">
      <c r="A5" s="95" t="n"/>
      <c r="B5" s="103" t="n"/>
      <c r="C5" s="96" t="n"/>
      <c r="D5" s="96" t="n"/>
      <c r="E5" s="96" t="n"/>
      <c r="F5" s="97" t="n"/>
      <c r="G5" s="96" t="n"/>
      <c r="H5" s="96" t="n"/>
      <c r="I5" s="96" t="n"/>
      <c r="J5" s="96" t="n"/>
      <c r="K5" s="96" t="n"/>
      <c r="L5" s="96" t="n"/>
      <c r="M5" s="96" t="n"/>
      <c r="N5" s="96" t="n"/>
      <c r="O5" s="96" t="n"/>
      <c r="P5" s="114" t="n"/>
      <c r="Q5" s="95" t="n"/>
    </row>
    <row r="6" ht="15.75" customHeight="1" thickBot="1"/>
    <row r="7" ht="14.25" customHeight="1">
      <c r="B7" s="632" t="inlineStr">
        <is>
          <t>SCHOOL INFO</t>
        </is>
      </c>
      <c r="C7" s="607" t="n"/>
      <c r="D7" s="607" t="n"/>
      <c r="E7" s="607" t="n"/>
      <c r="F7" s="607" t="n"/>
      <c r="G7" s="607" t="n"/>
      <c r="H7" s="633" t="n"/>
      <c r="J7" s="632" t="inlineStr">
        <is>
          <t>LEARNERS' NAMES</t>
        </is>
      </c>
      <c r="K7" s="607" t="n"/>
      <c r="L7" s="607" t="n"/>
      <c r="M7" s="607" t="n"/>
      <c r="N7" s="607" t="n"/>
      <c r="O7" s="607" t="n"/>
      <c r="P7" s="633" t="n"/>
    </row>
    <row r="8" ht="14.25" customHeight="1">
      <c r="B8" s="634" t="n"/>
      <c r="H8" s="635" t="n"/>
      <c r="J8" s="634" t="n"/>
      <c r="P8" s="635" t="n"/>
    </row>
    <row r="9">
      <c r="B9" s="92" t="n"/>
      <c r="C9" s="94" t="n"/>
      <c r="D9" s="94" t="n"/>
      <c r="E9" s="93" t="n"/>
      <c r="F9" s="94" t="n"/>
      <c r="G9" s="94" t="n"/>
      <c r="H9" s="99" t="n"/>
      <c r="J9" s="76" t="n"/>
      <c r="K9" s="78" t="n"/>
      <c r="L9" s="87" t="n"/>
      <c r="M9" s="78" t="n"/>
      <c r="N9" s="78" t="n"/>
      <c r="O9" s="78" t="n"/>
      <c r="P9" s="77" t="n"/>
    </row>
    <row r="10">
      <c r="B10" s="104" t="n"/>
      <c r="C10" s="370" t="inlineStr">
        <is>
          <t>REGION</t>
        </is>
      </c>
      <c r="D10" s="625" t="n"/>
      <c r="E10" s="84" t="inlineStr">
        <is>
          <t>:</t>
        </is>
      </c>
      <c r="F10" s="373" t="inlineStr">
        <is>
          <t xml:space="preserve">Region VII </t>
        </is>
      </c>
      <c r="G10" s="636" t="n"/>
      <c r="H10" s="77" t="n"/>
      <c r="J10" s="76" t="n"/>
      <c r="K10" s="88" t="inlineStr">
        <is>
          <t>MALE</t>
        </is>
      </c>
      <c r="L10" s="100" t="n"/>
      <c r="M10" s="78" t="n"/>
      <c r="N10" s="88" t="inlineStr">
        <is>
          <t>FEMALE</t>
        </is>
      </c>
      <c r="O10" s="101" t="n"/>
      <c r="P10" s="77" t="n"/>
    </row>
    <row r="11">
      <c r="B11" s="104" t="n"/>
      <c r="C11" s="370" t="inlineStr">
        <is>
          <t>DIVISION</t>
        </is>
      </c>
      <c r="D11" s="625" t="n"/>
      <c r="E11" s="84" t="inlineStr">
        <is>
          <t>:</t>
        </is>
      </c>
      <c r="F11" s="278" t="inlineStr">
        <is>
          <t>Talisay City</t>
        </is>
      </c>
      <c r="G11" s="279" t="n"/>
      <c r="H11" s="77" t="n"/>
      <c r="J11" s="76" t="n"/>
      <c r="K11" s="89" t="n">
        <v>1</v>
      </c>
      <c r="L11" s="166" t="inlineStr">
        <is>
          <t>ABELLANA, KERN ANDREW VILLARO</t>
        </is>
      </c>
      <c r="M11" s="78" t="n"/>
      <c r="N11" s="89" t="n">
        <v>1</v>
      </c>
      <c r="O11" s="166" t="inlineStr">
        <is>
          <t>BADINAS, JESAN JANE PACADA</t>
        </is>
      </c>
      <c r="P11" s="77" t="n"/>
    </row>
    <row r="12">
      <c r="B12" s="104" t="n"/>
      <c r="C12" s="83" t="n"/>
      <c r="D12" s="83" t="n"/>
      <c r="E12" s="85" t="n"/>
      <c r="F12" s="87" t="n"/>
      <c r="G12" s="87" t="n"/>
      <c r="H12" s="77" t="n"/>
      <c r="J12" s="102" t="n"/>
      <c r="K12" s="89" t="n">
        <v>2</v>
      </c>
      <c r="L12" s="166" t="inlineStr">
        <is>
          <t>ANATIHAN, KARL WYNE MARIQUIT</t>
        </is>
      </c>
      <c r="M12" s="78" t="n"/>
      <c r="N12" s="89" t="n">
        <v>2</v>
      </c>
      <c r="O12" s="166" t="inlineStr">
        <is>
          <t>ENJAMBRE, SILVER KEY -</t>
        </is>
      </c>
      <c r="P12" s="77" t="n"/>
    </row>
    <row r="13">
      <c r="B13" s="104" t="n"/>
      <c r="C13" s="370" t="inlineStr">
        <is>
          <t>SCHOOL ID</t>
        </is>
      </c>
      <c r="D13" s="625" t="n"/>
      <c r="E13" s="84" t="inlineStr">
        <is>
          <t>:</t>
        </is>
      </c>
      <c r="F13" s="167" t="n">
        <v>303111</v>
      </c>
      <c r="G13" s="87" t="n"/>
      <c r="H13" s="77" t="n"/>
      <c r="J13" s="102" t="n"/>
      <c r="K13" s="89" t="n">
        <v>3</v>
      </c>
      <c r="L13" s="166" t="inlineStr">
        <is>
          <t>BACUS, BRYLLE DIONE FULMARAN</t>
        </is>
      </c>
      <c r="M13" s="78" t="n"/>
      <c r="N13" s="89" t="n">
        <v>3</v>
      </c>
      <c r="O13" s="166" t="inlineStr">
        <is>
          <t>PARAISO, ANGEL MAE MONTEMAYOR</t>
        </is>
      </c>
      <c r="P13" s="77" t="n"/>
    </row>
    <row r="14">
      <c r="B14" s="104" t="n"/>
      <c r="C14" s="370" t="inlineStr">
        <is>
          <t>SCHOOL NAME</t>
        </is>
      </c>
      <c r="D14" s="637" t="n"/>
      <c r="E14" s="84" t="inlineStr">
        <is>
          <t>:</t>
        </is>
      </c>
      <c r="F14" s="373" t="inlineStr">
        <is>
          <t>TABUNOC NATIONAL HIGH SCHOOL</t>
        </is>
      </c>
      <c r="G14" s="638" t="n"/>
      <c r="H14" s="77" t="n"/>
      <c r="J14" s="102" t="n"/>
      <c r="K14" s="89" t="n">
        <v>4</v>
      </c>
      <c r="L14" s="166" t="inlineStr">
        <is>
          <t>BARAGA, BENJIE JR ARABIS</t>
        </is>
      </c>
      <c r="M14" s="78" t="n"/>
      <c r="N14" s="89" t="n">
        <v>4</v>
      </c>
      <c r="O14" s="166" t="inlineStr">
        <is>
          <t xml:space="preserve">	RICO, FRITZ ANGELA GERALI</t>
        </is>
      </c>
      <c r="P14" s="77" t="n"/>
    </row>
    <row r="15">
      <c r="B15" s="104" t="n"/>
      <c r="C15" s="627" t="n"/>
      <c r="D15" s="639" t="n"/>
      <c r="E15" s="639" t="n"/>
      <c r="F15" s="640" t="n"/>
      <c r="G15" s="641" t="n"/>
      <c r="H15" s="77" t="n"/>
      <c r="J15" s="102" t="n"/>
      <c r="K15" s="89" t="n">
        <v>5</v>
      </c>
      <c r="L15" s="166" t="inlineStr">
        <is>
          <t>CABALLES, IVAN ANUADA</t>
        </is>
      </c>
      <c r="M15" s="78" t="n"/>
      <c r="N15" s="89" t="n">
        <v>5</v>
      </c>
      <c r="O15" s="166" t="inlineStr">
        <is>
          <t>SELLORIA, JANICE -</t>
        </is>
      </c>
      <c r="P15" s="77" t="n"/>
    </row>
    <row r="16">
      <c r="B16" s="104" t="n"/>
      <c r="C16" s="370" t="inlineStr">
        <is>
          <t>SCHOOL YEAR</t>
        </is>
      </c>
      <c r="D16" s="625" t="n"/>
      <c r="E16" s="84" t="inlineStr">
        <is>
          <t>:</t>
        </is>
      </c>
      <c r="F16" s="373" t="inlineStr">
        <is>
          <t>2026-2027</t>
        </is>
      </c>
      <c r="G16" s="636" t="n"/>
      <c r="H16" s="77" t="n"/>
      <c r="J16" s="102" t="n"/>
      <c r="K16" s="89" t="n">
        <v>6</v>
      </c>
      <c r="L16" s="166" t="inlineStr">
        <is>
          <t xml:space="preserve">	CABARDO, ELGE -</t>
        </is>
      </c>
      <c r="M16" s="78" t="n"/>
      <c r="N16" s="89" t="n">
        <v>6</v>
      </c>
      <c r="O16" s="166" t="inlineStr">
        <is>
          <t>VERSOZA, ARGENZA SACAREZ</t>
        </is>
      </c>
      <c r="P16" s="77" t="n"/>
    </row>
    <row r="17" ht="15.75" customHeight="1" thickBot="1">
      <c r="B17" s="105" t="n"/>
      <c r="C17" s="80" t="n"/>
      <c r="D17" s="90" t="n"/>
      <c r="E17" s="81" t="n"/>
      <c r="F17" s="90" t="n"/>
      <c r="G17" s="80" t="n"/>
      <c r="H17" s="82" t="n"/>
      <c r="J17" s="102" t="n"/>
      <c r="K17" s="89" t="n">
        <v>7</v>
      </c>
      <c r="L17" s="166" t="inlineStr">
        <is>
          <t xml:space="preserve">	CABIGAS, BRYLLE ANTHONY ANIÑON</t>
        </is>
      </c>
      <c r="M17" s="78" t="n"/>
      <c r="N17" s="89" t="n">
        <v>7</v>
      </c>
      <c r="O17" s="166" t="n"/>
      <c r="P17" s="77" t="n"/>
    </row>
    <row r="18" ht="15.75" customHeight="1" thickBot="1">
      <c r="J18" s="102" t="n"/>
      <c r="K18" s="89" t="n">
        <v>8</v>
      </c>
      <c r="L18" s="166" t="inlineStr">
        <is>
          <t>CARMELOTES, CRIS JOHN TAPAO</t>
        </is>
      </c>
      <c r="M18" s="78" t="n"/>
      <c r="N18" s="89" t="n">
        <v>8</v>
      </c>
      <c r="O18" s="166" t="n"/>
      <c r="P18" s="77" t="n"/>
    </row>
    <row r="19">
      <c r="B19" s="632" t="inlineStr">
        <is>
          <t>TEACHER, TRACK, GRADE LEVEL, AND SUBJECT AREA INFO</t>
        </is>
      </c>
      <c r="C19" s="607" t="n"/>
      <c r="D19" s="607" t="n"/>
      <c r="E19" s="607" t="n"/>
      <c r="F19" s="607" t="n"/>
      <c r="G19" s="607" t="n"/>
      <c r="H19" s="633" t="n"/>
      <c r="J19" s="102" t="n"/>
      <c r="K19" s="89" t="n">
        <v>9</v>
      </c>
      <c r="L19" s="166" t="inlineStr">
        <is>
          <t xml:space="preserve">	CARMELOTES, ZAIJAN TAPAO</t>
        </is>
      </c>
      <c r="M19" s="78" t="n"/>
      <c r="N19" s="89" t="n">
        <v>9</v>
      </c>
      <c r="O19" s="166" t="n"/>
      <c r="P19" s="77" t="n"/>
    </row>
    <row r="20">
      <c r="B20" s="634" t="n"/>
      <c r="H20" s="635" t="n"/>
      <c r="J20" s="102" t="n"/>
      <c r="K20" s="89" t="n">
        <v>10</v>
      </c>
      <c r="L20" s="166" t="inlineStr">
        <is>
          <t>DEJAMO, JOHN JOSEPH TABAY</t>
        </is>
      </c>
      <c r="M20" s="78" t="n"/>
      <c r="N20" s="89" t="n">
        <v>10</v>
      </c>
      <c r="O20" s="166" t="n"/>
      <c r="P20" s="77" t="n"/>
    </row>
    <row r="21">
      <c r="B21" s="92" t="n"/>
      <c r="C21" s="94" t="n"/>
      <c r="D21" s="93" t="n"/>
      <c r="E21" s="94" t="n"/>
      <c r="F21" s="94" t="n"/>
      <c r="G21" s="94" t="n"/>
      <c r="H21" s="99" t="n"/>
      <c r="J21" s="102" t="n"/>
      <c r="K21" s="89" t="n">
        <v>11</v>
      </c>
      <c r="L21" s="166" t="inlineStr">
        <is>
          <t>DELA CRUZ, JOSHUA DONILA</t>
        </is>
      </c>
      <c r="M21" s="78" t="n"/>
      <c r="N21" s="89" t="n">
        <v>11</v>
      </c>
      <c r="O21" s="166" t="n"/>
      <c r="P21" s="77" t="n"/>
    </row>
    <row r="22" ht="13.9" customHeight="1">
      <c r="B22" s="104" t="n"/>
      <c r="C22" s="345" t="inlineStr">
        <is>
          <t>TEACHER</t>
        </is>
      </c>
      <c r="D22" s="346" t="n"/>
      <c r="E22" s="84" t="inlineStr">
        <is>
          <t>:</t>
        </is>
      </c>
      <c r="F22" s="361" t="inlineStr">
        <is>
          <t>RICHIE RYAN C. MABUNAY</t>
        </is>
      </c>
      <c r="G22" s="636" t="n"/>
      <c r="H22" s="77" t="n"/>
      <c r="J22" s="102" t="n"/>
      <c r="K22" s="89" t="n">
        <v>12</v>
      </c>
      <c r="L22" s="166" t="inlineStr">
        <is>
          <t xml:space="preserve">	DENTE, QUEERL BORNEA</t>
        </is>
      </c>
      <c r="M22" s="78" t="n"/>
      <c r="N22" s="89" t="n">
        <v>12</v>
      </c>
      <c r="O22" s="166" t="n"/>
      <c r="P22" s="77" t="n"/>
    </row>
    <row r="23" ht="13.9" customHeight="1">
      <c r="B23" s="104" t="n"/>
      <c r="C23" s="343" t="inlineStr">
        <is>
          <t>TRACK</t>
        </is>
      </c>
      <c r="D23" s="342" t="n"/>
      <c r="E23" s="344" t="inlineStr">
        <is>
          <t>:</t>
        </is>
      </c>
      <c r="F23" s="280" t="inlineStr">
        <is>
          <t>TECHNICAL PROFESSIONAL</t>
        </is>
      </c>
      <c r="G23" s="351" t="inlineStr">
        <is>
          <t>(Use the dropdown menu)</t>
        </is>
      </c>
      <c r="H23" s="77" t="n"/>
      <c r="J23" s="102" t="n"/>
      <c r="K23" s="89" t="n">
        <v>13</v>
      </c>
      <c r="L23" s="166" t="inlineStr">
        <is>
          <t>DULCERO, VANS ZILDJIAN RAGOSTA</t>
        </is>
      </c>
      <c r="M23" s="78" t="n"/>
      <c r="N23" s="89" t="n">
        <v>13</v>
      </c>
      <c r="O23" s="166" t="n"/>
      <c r="P23" s="77" t="n"/>
    </row>
    <row r="24" ht="13.9" customHeight="1">
      <c r="B24" s="104" t="n"/>
      <c r="C24" s="390" t="inlineStr">
        <is>
          <t>GRADE LEVEL</t>
        </is>
      </c>
      <c r="D24" s="625" t="n"/>
      <c r="E24" s="84" t="inlineStr">
        <is>
          <t>:</t>
        </is>
      </c>
      <c r="F24" s="360" t="n">
        <v>11</v>
      </c>
      <c r="G24" s="351" t="inlineStr">
        <is>
          <t>(Accepts 11 and 12 only)</t>
        </is>
      </c>
      <c r="H24" s="77" t="n"/>
      <c r="J24" s="102" t="n"/>
      <c r="K24" s="89" t="n">
        <v>14</v>
      </c>
      <c r="L24" s="166" t="inlineStr">
        <is>
          <t>FAT, ALEXIS PEÑAFLOR</t>
        </is>
      </c>
      <c r="M24" s="78" t="n"/>
      <c r="N24" s="89" t="n">
        <v>14</v>
      </c>
      <c r="O24" s="166" t="n"/>
      <c r="P24" s="77" t="n"/>
    </row>
    <row r="25" ht="13.9" customHeight="1">
      <c r="B25" s="104" t="n"/>
      <c r="C25" s="390" t="inlineStr">
        <is>
          <t>SECTION</t>
        </is>
      </c>
      <c r="D25" s="391" t="n"/>
      <c r="E25" s="84" t="inlineStr">
        <is>
          <t>:</t>
        </is>
      </c>
      <c r="F25" s="280" t="inlineStr">
        <is>
          <t>APOLLO</t>
        </is>
      </c>
      <c r="G25" s="281" t="n"/>
      <c r="H25" s="77" t="n"/>
      <c r="J25" s="102" t="n"/>
      <c r="K25" s="89" t="n">
        <v>15</v>
      </c>
      <c r="L25" s="166" t="inlineStr">
        <is>
          <t>GOMEZ, JOBBY TWISE CAMPO</t>
        </is>
      </c>
      <c r="M25" s="78" t="n"/>
      <c r="N25" s="89" t="n">
        <v>15</v>
      </c>
      <c r="O25" s="166" t="n"/>
      <c r="P25" s="77" t="n"/>
    </row>
    <row r="26">
      <c r="B26" s="104" t="n"/>
      <c r="C26" s="390" t="inlineStr">
        <is>
          <t>SUBJECT TYPE</t>
        </is>
      </c>
      <c r="D26" s="637" t="n"/>
      <c r="E26" s="84" t="inlineStr">
        <is>
          <t>:</t>
        </is>
      </c>
      <c r="F26" s="642" t="inlineStr">
        <is>
          <t>TechPro Elective (All Other Electives)</t>
        </is>
      </c>
      <c r="G26" s="643" t="n"/>
      <c r="H26" s="77" t="n"/>
      <c r="J26" s="102" t="n"/>
      <c r="K26" s="89" t="n">
        <v>16</v>
      </c>
      <c r="L26" s="166" t="inlineStr">
        <is>
          <t>JUNGOY, JUSTIN KYLE UMALAY</t>
        </is>
      </c>
      <c r="M26" s="78" t="n"/>
      <c r="N26" s="89" t="n">
        <v>16</v>
      </c>
      <c r="O26" s="166" t="n"/>
      <c r="P26" s="77" t="n"/>
    </row>
    <row r="27" ht="15" customHeight="1">
      <c r="B27" s="92" t="n"/>
      <c r="C27" s="644" t="n"/>
      <c r="D27" s="639" t="n"/>
      <c r="E27" s="639" t="n"/>
      <c r="F27" s="640" t="n"/>
      <c r="G27" s="645" t="n"/>
      <c r="H27" s="99" t="n"/>
      <c r="J27" s="102" t="n"/>
      <c r="K27" s="89" t="n">
        <v>17</v>
      </c>
      <c r="L27" s="166" t="inlineStr">
        <is>
          <t>MANAAY, CHRIST JAKE CARUANA</t>
        </is>
      </c>
      <c r="M27" s="78" t="n"/>
      <c r="N27" s="89" t="n">
        <v>17</v>
      </c>
      <c r="O27" s="166" t="n"/>
      <c r="P27" s="77" t="n"/>
    </row>
    <row r="28">
      <c r="B28" s="92" t="n"/>
      <c r="C28" s="390" t="inlineStr">
        <is>
          <t>SUBJECT</t>
        </is>
      </c>
      <c r="D28" s="637" t="n"/>
      <c r="E28" s="84" t="inlineStr">
        <is>
          <t>:</t>
        </is>
      </c>
      <c r="F28" s="642" t="inlineStr">
        <is>
          <t>Electrical Installation Maintenance</t>
        </is>
      </c>
      <c r="G28" s="643" t="n"/>
      <c r="H28" s="99" t="n"/>
      <c r="J28" s="102" t="n"/>
      <c r="K28" s="89" t="n">
        <v>18</v>
      </c>
      <c r="L28" s="166" t="inlineStr">
        <is>
          <t>NAILON, LOVESKI SANTILLAN</t>
        </is>
      </c>
      <c r="M28" s="78" t="n"/>
      <c r="N28" s="89" t="n">
        <v>18</v>
      </c>
      <c r="O28" s="166" t="n"/>
      <c r="P28" s="77" t="n"/>
    </row>
    <row r="29">
      <c r="B29" s="92" t="n"/>
      <c r="C29" s="644" t="n"/>
      <c r="D29" s="639" t="n"/>
      <c r="E29" s="639" t="n"/>
      <c r="F29" s="640" t="n"/>
      <c r="G29" s="645" t="n"/>
      <c r="H29" s="99" t="n"/>
      <c r="J29" s="102" t="n"/>
      <c r="K29" s="89" t="n">
        <v>19</v>
      </c>
      <c r="L29" s="166" t="inlineStr">
        <is>
          <t>PAUTAN, KENT RICHARD MANCIA</t>
        </is>
      </c>
      <c r="M29" s="78" t="n"/>
      <c r="N29" s="89" t="n">
        <v>19</v>
      </c>
      <c r="O29" s="166" t="n"/>
      <c r="P29" s="77" t="n"/>
    </row>
    <row r="30">
      <c r="B30" s="92" t="n"/>
      <c r="C30" s="646" t="inlineStr">
        <is>
          <t>Other Elective &amp; Special Curricular Program / Subject</t>
        </is>
      </c>
      <c r="D30" s="637" t="n"/>
      <c r="E30" s="647" t="inlineStr">
        <is>
          <t>:</t>
        </is>
      </c>
      <c r="F30" s="648" t="n"/>
      <c r="G30" s="638" t="n"/>
      <c r="H30" s="99" t="n"/>
      <c r="J30" s="102" t="n"/>
      <c r="K30" s="89" t="n">
        <v>20</v>
      </c>
      <c r="L30" s="166" t="inlineStr">
        <is>
          <t>PAYOSALAN, STEVEN CLYDE EDOLEVERIO</t>
        </is>
      </c>
      <c r="M30" s="78" t="n"/>
      <c r="N30" s="89" t="n">
        <v>20</v>
      </c>
      <c r="O30" s="166" t="n"/>
      <c r="P30" s="77" t="n"/>
    </row>
    <row r="31" ht="15" customHeight="1">
      <c r="B31" s="92" t="n"/>
      <c r="C31" s="627" t="n"/>
      <c r="D31" s="639" t="n"/>
      <c r="E31" s="639" t="n"/>
      <c r="F31" s="640" t="n"/>
      <c r="G31" s="641" t="n"/>
      <c r="H31" s="99" t="n"/>
      <c r="J31" s="102" t="n"/>
      <c r="K31" s="89" t="n">
        <v>21</v>
      </c>
      <c r="L31" s="166" t="inlineStr">
        <is>
          <t>PETILUNA, CARLITO JR. LANGUIDO</t>
        </is>
      </c>
      <c r="M31" s="78" t="n"/>
      <c r="N31" s="89" t="n">
        <v>21</v>
      </c>
      <c r="O31" s="166" t="n"/>
      <c r="P31" s="77" t="n"/>
    </row>
    <row r="32">
      <c r="B32" s="104" t="n"/>
      <c r="C32" s="78" t="n"/>
      <c r="D32" s="78" t="n"/>
      <c r="E32" s="78" t="n"/>
      <c r="F32" s="86" t="n"/>
      <c r="G32" s="78" t="n"/>
      <c r="H32" s="77" t="n"/>
      <c r="J32" s="102" t="n"/>
      <c r="K32" s="89" t="n">
        <v>22</v>
      </c>
      <c r="L32" s="166" t="inlineStr">
        <is>
          <t>POTIS, KEVIN GARNETT REPONTE</t>
        </is>
      </c>
      <c r="M32" s="78" t="n"/>
      <c r="N32" s="89" t="n">
        <v>22</v>
      </c>
      <c r="O32" s="166" t="n"/>
      <c r="P32" s="77" t="n"/>
    </row>
    <row r="33">
      <c r="B33" s="106" t="n"/>
      <c r="C33" s="405" t="inlineStr">
        <is>
          <t>DISCLAIMER: This is not an official release. All tabs are password-protected to prevent accidental formula edits and ensure accuracy.If you find any inconsistencies, particularly with the formulas, please message ME so the necessary changes can be incorporated.</t>
        </is>
      </c>
      <c r="H33" s="107" t="n"/>
      <c r="J33" s="102" t="n"/>
      <c r="K33" s="89" t="n">
        <v>23</v>
      </c>
      <c r="L33" s="166" t="inlineStr">
        <is>
          <t>TOLEDO, CHARLES BENJAMIN ANDRES</t>
        </is>
      </c>
      <c r="M33" s="78" t="n"/>
      <c r="N33" s="89" t="n">
        <v>23</v>
      </c>
      <c r="O33" s="166" t="n"/>
      <c r="P33" s="77" t="n"/>
    </row>
    <row r="34">
      <c r="B34" s="106" t="n"/>
      <c r="H34" s="107" t="n"/>
      <c r="J34" s="102" t="n"/>
      <c r="K34" s="89" t="n">
        <v>24</v>
      </c>
      <c r="L34" s="166" t="inlineStr">
        <is>
          <t>TRIBUNALO, JOHN ANTHONY COMPACION</t>
        </is>
      </c>
      <c r="M34" s="78" t="n"/>
      <c r="N34" s="89" t="n">
        <v>24</v>
      </c>
      <c r="O34" s="166" t="n"/>
      <c r="P34" s="77" t="n"/>
    </row>
    <row r="35">
      <c r="B35" s="106" t="n"/>
      <c r="H35" s="107" t="n"/>
      <c r="J35" s="102" t="n"/>
      <c r="K35" s="89" t="n">
        <v>25</v>
      </c>
      <c r="L35" s="166" t="inlineStr">
        <is>
          <t>VILLARO, DARYL JAMES ESPINOSA</t>
        </is>
      </c>
      <c r="M35" s="78" t="n"/>
      <c r="N35" s="89" t="n">
        <v>25</v>
      </c>
      <c r="O35" s="166" t="n"/>
      <c r="P35" s="77" t="n"/>
    </row>
    <row r="36" ht="15.75" customHeight="1" thickBot="1">
      <c r="B36" s="108" t="n"/>
      <c r="C36" s="109" t="n"/>
      <c r="D36" s="110" t="n"/>
      <c r="E36" s="111" t="n"/>
      <c r="F36" s="109" t="n"/>
      <c r="G36" s="111" t="n"/>
      <c r="H36" s="112" t="n"/>
      <c r="J36" s="102" t="n"/>
      <c r="K36" s="89" t="n">
        <v>26</v>
      </c>
      <c r="L36" s="166" t="inlineStr">
        <is>
          <t>VILLARTA, ANGELO JAMES TANTIADO</t>
        </is>
      </c>
      <c r="M36" s="78" t="n"/>
      <c r="N36" s="89" t="n">
        <v>26</v>
      </c>
      <c r="O36" s="166" t="n"/>
      <c r="P36" s="77" t="n"/>
    </row>
    <row r="37">
      <c r="J37" s="102" t="n"/>
      <c r="K37" s="89" t="n">
        <v>27</v>
      </c>
      <c r="L37" s="166" t="inlineStr">
        <is>
          <t>VILLARTA, JOENARD TANTIADO</t>
        </is>
      </c>
      <c r="M37" s="78" t="n"/>
      <c r="N37" s="89" t="n">
        <v>27</v>
      </c>
      <c r="O37" s="166" t="n"/>
      <c r="P37" s="77" t="n"/>
    </row>
    <row r="38" ht="15" customHeight="1">
      <c r="B38" s="413" t="inlineStr">
        <is>
          <t>TEACH PINAS</t>
        </is>
      </c>
      <c r="C38" s="625" t="n"/>
      <c r="D38" s="625" t="n"/>
      <c r="E38" s="625" t="n"/>
      <c r="F38" s="625" t="n"/>
      <c r="G38" s="625" t="n"/>
      <c r="H38" s="626" t="n"/>
      <c r="J38" s="102" t="n"/>
      <c r="K38" s="89" t="n">
        <v>28</v>
      </c>
      <c r="L38" s="166" t="n"/>
      <c r="M38" s="78" t="n"/>
      <c r="N38" s="89" t="n">
        <v>28</v>
      </c>
      <c r="O38" s="166" t="n"/>
      <c r="P38" s="77" t="n"/>
    </row>
    <row r="39">
      <c r="B39" s="393" t="inlineStr">
        <is>
          <t>www.teachpinas.com</t>
        </is>
      </c>
      <c r="C39" s="637" t="n"/>
      <c r="D39" s="637" t="n"/>
      <c r="E39" s="637" t="n"/>
      <c r="F39" s="637" t="n"/>
      <c r="G39" s="637" t="n"/>
      <c r="H39" s="637" t="n"/>
      <c r="J39" s="102" t="n"/>
      <c r="K39" s="89" t="n">
        <v>29</v>
      </c>
      <c r="L39" s="166" t="n"/>
      <c r="M39" s="78" t="n"/>
      <c r="N39" s="89" t="n">
        <v>29</v>
      </c>
      <c r="O39" s="166" t="n"/>
      <c r="P39" s="77" t="n"/>
    </row>
    <row r="40" ht="15" customHeight="1">
      <c r="J40" s="102" t="n"/>
      <c r="K40" s="89" t="n">
        <v>30</v>
      </c>
      <c r="L40" s="166" t="n"/>
      <c r="M40" s="78" t="n"/>
      <c r="N40" s="89" t="n">
        <v>30</v>
      </c>
      <c r="O40" s="166" t="n"/>
      <c r="P40" s="77" t="n"/>
    </row>
    <row r="41" ht="15" customHeight="1">
      <c r="B41" s="392" t="n"/>
      <c r="C41" s="392" t="n"/>
      <c r="D41" s="74" t="n"/>
      <c r="E41" s="74" t="n"/>
      <c r="J41" s="102" t="n"/>
      <c r="K41" s="89" t="n">
        <v>31</v>
      </c>
      <c r="L41" s="166" t="n"/>
      <c r="M41" s="78" t="n"/>
      <c r="N41" s="89" t="n">
        <v>31</v>
      </c>
      <c r="O41" s="166" t="n"/>
      <c r="P41" s="77" t="n"/>
    </row>
    <row r="42">
      <c r="B42" s="392" t="n"/>
      <c r="D42" s="347" t="n"/>
      <c r="J42" s="102" t="n"/>
      <c r="K42" s="89" t="n">
        <v>32</v>
      </c>
      <c r="L42" s="166" t="n"/>
      <c r="M42" s="78" t="n"/>
      <c r="N42" s="89" t="n">
        <v>32</v>
      </c>
      <c r="O42" s="166" t="n"/>
      <c r="P42" s="77" t="n"/>
    </row>
    <row r="43">
      <c r="J43" s="102" t="n"/>
      <c r="K43" s="89" t="n">
        <v>33</v>
      </c>
      <c r="L43" s="166" t="n"/>
      <c r="M43" s="78" t="n"/>
      <c r="N43" s="89" t="n">
        <v>33</v>
      </c>
      <c r="O43" s="166" t="n"/>
      <c r="P43" s="77" t="n"/>
    </row>
    <row r="44">
      <c r="J44" s="102" t="n"/>
      <c r="K44" s="89" t="n">
        <v>34</v>
      </c>
      <c r="L44" s="166" t="n"/>
      <c r="M44" s="78" t="n"/>
      <c r="N44" s="89" t="n">
        <v>34</v>
      </c>
      <c r="O44" s="166" t="n"/>
      <c r="P44" s="77" t="n"/>
    </row>
    <row r="45">
      <c r="J45" s="102" t="n"/>
      <c r="K45" s="89" t="n">
        <v>35</v>
      </c>
      <c r="L45" s="166" t="n"/>
      <c r="M45" s="78" t="n"/>
      <c r="N45" s="89" t="n">
        <v>35</v>
      </c>
      <c r="O45" s="166" t="n"/>
      <c r="P45" s="77" t="n"/>
    </row>
    <row r="46">
      <c r="J46" s="102" t="n"/>
      <c r="K46" s="89" t="n">
        <v>36</v>
      </c>
      <c r="L46" s="166" t="n"/>
      <c r="M46" s="78" t="n"/>
      <c r="N46" s="89" t="n">
        <v>36</v>
      </c>
      <c r="O46" s="166" t="n"/>
      <c r="P46" s="77" t="n"/>
    </row>
    <row r="47">
      <c r="J47" s="102" t="n"/>
      <c r="K47" s="89" t="n">
        <v>37</v>
      </c>
      <c r="L47" s="166" t="n"/>
      <c r="M47" s="78" t="n"/>
      <c r="N47" s="89" t="n">
        <v>37</v>
      </c>
      <c r="O47" s="166" t="n"/>
      <c r="P47" s="77" t="n"/>
    </row>
    <row r="48">
      <c r="J48" s="102" t="n"/>
      <c r="K48" s="89" t="n">
        <v>38</v>
      </c>
      <c r="L48" s="166" t="n"/>
      <c r="M48" s="78" t="n"/>
      <c r="N48" s="89" t="n">
        <v>38</v>
      </c>
      <c r="O48" s="166" t="n"/>
      <c r="P48" s="77" t="n"/>
    </row>
    <row r="49">
      <c r="J49" s="102" t="n"/>
      <c r="K49" s="89" t="n">
        <v>39</v>
      </c>
      <c r="L49" s="166" t="n"/>
      <c r="M49" s="78" t="n"/>
      <c r="N49" s="89" t="n">
        <v>39</v>
      </c>
      <c r="O49" s="166" t="n"/>
      <c r="P49" s="77" t="n"/>
    </row>
    <row r="50">
      <c r="J50" s="102" t="n"/>
      <c r="K50" s="89" t="n">
        <v>40</v>
      </c>
      <c r="L50" s="166" t="n"/>
      <c r="M50" s="78" t="n"/>
      <c r="N50" s="89" t="n">
        <v>40</v>
      </c>
      <c r="O50" s="166" t="n"/>
      <c r="P50" s="77" t="n"/>
    </row>
    <row r="51">
      <c r="J51" s="102" t="n"/>
      <c r="K51" s="89" t="n">
        <v>41</v>
      </c>
      <c r="L51" s="166" t="n"/>
      <c r="M51" s="78" t="n"/>
      <c r="N51" s="89" t="n">
        <v>41</v>
      </c>
      <c r="O51" s="166" t="n"/>
      <c r="P51" s="77" t="n"/>
    </row>
    <row r="52">
      <c r="J52" s="102" t="n"/>
      <c r="K52" s="89" t="n">
        <v>42</v>
      </c>
      <c r="L52" s="166" t="n"/>
      <c r="M52" s="78" t="n"/>
      <c r="N52" s="89" t="n">
        <v>42</v>
      </c>
      <c r="O52" s="166" t="n"/>
      <c r="P52" s="77" t="n"/>
    </row>
    <row r="53">
      <c r="J53" s="102" t="n"/>
      <c r="K53" s="89" t="n">
        <v>43</v>
      </c>
      <c r="L53" s="166" t="n"/>
      <c r="M53" s="78" t="n"/>
      <c r="N53" s="89" t="n">
        <v>43</v>
      </c>
      <c r="O53" s="166" t="n"/>
      <c r="P53" s="77" t="n"/>
    </row>
    <row r="54">
      <c r="J54" s="102" t="n"/>
      <c r="K54" s="89" t="n">
        <v>44</v>
      </c>
      <c r="L54" s="166" t="n"/>
      <c r="M54" s="78" t="n"/>
      <c r="N54" s="89" t="n">
        <v>44</v>
      </c>
      <c r="O54" s="166" t="n"/>
      <c r="P54" s="77" t="n"/>
    </row>
    <row r="55">
      <c r="J55" s="102" t="n"/>
      <c r="K55" s="89" t="n">
        <v>45</v>
      </c>
      <c r="L55" s="166" t="n"/>
      <c r="M55" s="78" t="n"/>
      <c r="N55" s="89" t="n">
        <v>45</v>
      </c>
      <c r="O55" s="166" t="n"/>
      <c r="P55" s="77" t="n"/>
    </row>
    <row r="56">
      <c r="J56" s="102" t="n"/>
      <c r="K56" s="89" t="n">
        <v>46</v>
      </c>
      <c r="L56" s="166" t="n"/>
      <c r="M56" s="78" t="n"/>
      <c r="N56" s="89" t="n">
        <v>46</v>
      </c>
      <c r="O56" s="166" t="n"/>
      <c r="P56" s="77" t="n"/>
    </row>
    <row r="57">
      <c r="J57" s="102" t="n"/>
      <c r="K57" s="89" t="n">
        <v>47</v>
      </c>
      <c r="L57" s="166" t="n"/>
      <c r="M57" s="78" t="n"/>
      <c r="N57" s="89" t="n">
        <v>47</v>
      </c>
      <c r="O57" s="166" t="n"/>
      <c r="P57" s="77" t="n"/>
    </row>
    <row r="58">
      <c r="J58" s="102" t="n"/>
      <c r="K58" s="89" t="n">
        <v>48</v>
      </c>
      <c r="L58" s="166" t="n"/>
      <c r="M58" s="78" t="n"/>
      <c r="N58" s="89" t="n">
        <v>48</v>
      </c>
      <c r="O58" s="166" t="n"/>
      <c r="P58" s="77" t="n"/>
    </row>
    <row r="59">
      <c r="J59" s="102" t="n"/>
      <c r="K59" s="89" t="n">
        <v>49</v>
      </c>
      <c r="L59" s="166" t="n"/>
      <c r="M59" s="78" t="n"/>
      <c r="N59" s="89" t="n">
        <v>49</v>
      </c>
      <c r="O59" s="166" t="n"/>
      <c r="P59" s="77" t="n"/>
    </row>
    <row r="60">
      <c r="J60" s="102" t="n"/>
      <c r="K60" s="89" t="n">
        <v>50</v>
      </c>
      <c r="L60" s="166" t="n"/>
      <c r="M60" s="78" t="n"/>
      <c r="N60" s="89" t="n">
        <v>50</v>
      </c>
      <c r="O60" s="166" t="n"/>
      <c r="P60" s="77" t="n"/>
    </row>
    <row r="61" ht="15.75" customHeight="1" thickBot="1">
      <c r="J61" s="79" t="n"/>
      <c r="K61" s="80" t="n"/>
      <c r="L61" s="80" t="n"/>
      <c r="M61" s="80" t="n"/>
      <c r="N61" s="80" t="n"/>
      <c r="O61" s="80" t="n"/>
      <c r="P61" s="82" t="n"/>
    </row>
    <row r="62">
      <c r="J62" s="71" t="n"/>
      <c r="P62" s="182" t="inlineStr">
        <is>
          <t>2026_v1.0</t>
        </is>
      </c>
    </row>
    <row r="63" hidden="1">
      <c r="J63" s="71" t="n"/>
    </row>
    <row r="64" hidden="1">
      <c r="J64" s="71" t="n"/>
    </row>
    <row r="65" hidden="1">
      <c r="J65" s="71" t="n"/>
    </row>
    <row r="66" hidden="1">
      <c r="J66" s="71" t="n"/>
    </row>
    <row r="67" hidden="1">
      <c r="J67" s="71" t="n"/>
    </row>
    <row r="68" hidden="1">
      <c r="J68" s="71" t="n"/>
    </row>
    <row r="69" hidden="1">
      <c r="J69" s="7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Fozif8u741p9JF4dDs9cpw==" formatRows="1" sort="1" spinCount="100000" hashValue="X77/o0HHhvVYrncBOCq0y5iyM7sYK+DKtDM92Sfjp9saCFKieA6/StPQh7we3R+MeyE2p/C1FpoebU4p2zBp5Q=="/>
  <mergeCells count="27">
    <mergeCell ref="C24:D24"/>
    <mergeCell ref="F10:G10"/>
    <mergeCell ref="F16:G16"/>
    <mergeCell ref="C33:G35"/>
    <mergeCell ref="C10:D10"/>
    <mergeCell ref="C16:D16"/>
    <mergeCell ref="F28:G29"/>
    <mergeCell ref="E28:E29"/>
    <mergeCell ref="B42:C42"/>
    <mergeCell ref="F14:G15"/>
    <mergeCell ref="J7:P8"/>
    <mergeCell ref="B19:H20"/>
    <mergeCell ref="E30:E31"/>
    <mergeCell ref="C28:D29"/>
    <mergeCell ref="C11:D11"/>
    <mergeCell ref="B7:H8"/>
    <mergeCell ref="B39:H39"/>
    <mergeCell ref="F22:G22"/>
    <mergeCell ref="C14:D15"/>
    <mergeCell ref="C30:D31"/>
    <mergeCell ref="E26:E27"/>
    <mergeCell ref="B38:H38"/>
    <mergeCell ref="C13:D13"/>
    <mergeCell ref="C26:D27"/>
    <mergeCell ref="F30:G31"/>
    <mergeCell ref="F26:G27"/>
    <mergeCell ref="E14:E15"/>
  </mergeCells>
  <conditionalFormatting sqref="C30:G31">
    <cfRule type="expression" priority="1" dxfId="40">
      <formula>$F$28="Other Elective and Special Curricular Program"</formula>
    </cfRule>
  </conditionalFormatting>
  <dataValidations count="5">
    <dataValidation sqref="F26" showDropDown="0" showInputMessage="1" showErrorMessage="1" allowBlank="1" type="list">
      <formula1>INDIRECT( IF(F24=12, "'Helper(IMPORTANT!)'!DD3:DD6", "'Helper(IMPORTANT!)'!DD2:DD5" ) )</formula1>
    </dataValidation>
    <dataValidation sqref="F24" showDropDown="0" showInputMessage="1" showErrorMessage="1" allowBlank="1" type="list">
      <formula1>"11,12"</formula1>
    </dataValidation>
    <dataValidation sqref="F10:G10" showDropDown="0" showInputMessage="1" showErrorMessage="1" allowBlank="1" type="list">
      <formula1>"Select Region, CAR , NCR , Region I , Region II , Region III , Region IV-A , MIMAROPA , Region V , Region VI , Region VII , Region VIII , NIR , Region IX , Region X , Region XI , Region XII , CARAGA, BARMM"</formula1>
    </dataValidation>
    <dataValidation sqref="F16:G16" showDropDown="0" showInputMessage="1" showErrorMessage="1" allowBlank="1" type="list">
      <formula1>"2026-2027, 2027-2028, 2028-2029, 2029-2030"</formula1>
    </dataValidation>
    <dataValidation sqref="F23" showDropDown="0" showInputMessage="1" showErrorMessage="1" allowBlank="1" type="list">
      <formula1>"ACADEMIC, TECHNICAL PROFESSIONAL"</formula1>
    </dataValidation>
  </dataValidations>
  <hyperlinks>
    <hyperlink xmlns:r="http://schemas.openxmlformats.org/officeDocument/2006/relationships" ref="B39" r:id="rId1"/>
  </hyperlinks>
  <pageMargins left="0.2362204724409449" right="0.2362204724409449" top="0.3543307086614174" bottom="0.3543307086614174" header="0.3149606299212598" footer="0.3149606299212598"/>
  <pageSetup orientation="landscape" paperSize="14" scale="92" fitToHeight="0" horizontalDpi="1200" verticalDpi="1200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AI117"/>
  <sheetViews>
    <sheetView showGridLines="0" zoomScale="82" zoomScaleNormal="90" zoomScaleSheetLayoutView="100" workbookViewId="0">
      <pane ySplit="11" topLeftCell="A15" activePane="bottomLeft" state="frozen"/>
      <selection pane="bottomLeft" activeCell="B15" sqref="B15:E15"/>
    </sheetView>
  </sheetViews>
  <sheetFormatPr baseColWidth="8" defaultColWidth="0" defaultRowHeight="13.9" customHeight="1" zeroHeight="1"/>
  <cols>
    <col width="4.140625" customWidth="1" style="39" min="1" max="1"/>
    <col width="28.7109375" customWidth="1" style="39" min="2" max="2"/>
    <col width="3.28515625" customWidth="1" style="39" min="3" max="5"/>
    <col width="4.28515625" customWidth="1" style="39" min="6" max="10"/>
    <col width="6.28515625" customWidth="1" style="39" min="11" max="11"/>
    <col width="7.140625" customWidth="1" style="36" min="12" max="13"/>
    <col width="4.28515625" customWidth="1" style="39" min="14" max="16"/>
    <col width="6.28515625" customWidth="1" style="39" min="17" max="17"/>
    <col width="7.140625" customWidth="1" style="36" min="18" max="18"/>
    <col width="7.7109375" customWidth="1" style="36" min="19" max="19"/>
    <col width="5.7109375" customWidth="1" style="39" min="20" max="22"/>
    <col width="6.28515625" customWidth="1" style="39" min="23" max="23"/>
    <col width="7.140625" customWidth="1" style="36" min="24" max="25"/>
    <col width="10.28515625" customWidth="1" style="36" min="26" max="26"/>
    <col width="11" customWidth="1" style="276" min="27" max="27"/>
    <col width="10.28515625" customWidth="1" style="35" min="28" max="28"/>
    <col width="4.7109375" customWidth="1" style="38" min="29" max="29"/>
    <col hidden="1" width="4.7109375" customWidth="1" style="38" min="30" max="31"/>
    <col hidden="1" width="4.7109375" customWidth="1" style="450" min="32" max="35"/>
  </cols>
  <sheetData>
    <row r="1" ht="15" customFormat="1" customHeight="1" s="450">
      <c r="A1" s="474" t="inlineStr">
        <is>
          <t>Strengthened Senior High School Class Record</t>
        </is>
      </c>
      <c r="B1" s="649" t="n"/>
      <c r="C1" s="649" t="n"/>
      <c r="D1" s="649" t="n"/>
      <c r="E1" s="649" t="n"/>
      <c r="F1" s="649" t="n"/>
      <c r="G1" s="649" t="n"/>
      <c r="H1" s="649" t="n"/>
      <c r="I1" s="649" t="n"/>
      <c r="J1" s="649" t="n"/>
      <c r="K1" s="649" t="n"/>
      <c r="L1" s="649" t="n"/>
      <c r="M1" s="649" t="n"/>
      <c r="N1" s="649" t="n"/>
      <c r="O1" s="649" t="n"/>
      <c r="P1" s="649" t="n"/>
      <c r="Q1" s="649" t="n"/>
      <c r="R1" s="649" t="n"/>
      <c r="S1" s="649" t="n"/>
      <c r="T1" s="649" t="n"/>
      <c r="U1" s="649" t="n"/>
      <c r="V1" s="649" t="n"/>
      <c r="W1" s="649" t="n"/>
      <c r="X1" s="649" t="n"/>
      <c r="Y1" s="649" t="n"/>
      <c r="Z1" s="649" t="n"/>
      <c r="AA1" s="649" t="n"/>
      <c r="AB1" s="649" t="n"/>
      <c r="AC1" s="38" t="n"/>
      <c r="AD1" s="38" t="n"/>
      <c r="AE1" s="38" t="n"/>
    </row>
    <row r="2" ht="15" customFormat="1" customHeight="1" s="450">
      <c r="A2" s="649" t="n"/>
      <c r="B2" s="649" t="n"/>
      <c r="C2" s="649" t="n"/>
      <c r="D2" s="649" t="n"/>
      <c r="E2" s="649" t="n"/>
      <c r="F2" s="649" t="n"/>
      <c r="G2" s="649" t="n"/>
      <c r="H2" s="649" t="n"/>
      <c r="I2" s="649" t="n"/>
      <c r="J2" s="649" t="n"/>
      <c r="K2" s="649" t="n"/>
      <c r="L2" s="649" t="n"/>
      <c r="M2" s="649" t="n"/>
      <c r="N2" s="649" t="n"/>
      <c r="O2" s="649" t="n"/>
      <c r="P2" s="649" t="n"/>
      <c r="Q2" s="649" t="n"/>
      <c r="R2" s="649" t="n"/>
      <c r="S2" s="649" t="n"/>
      <c r="T2" s="649" t="n"/>
      <c r="U2" s="649" t="n"/>
      <c r="V2" s="649" t="n"/>
      <c r="W2" s="649" t="n"/>
      <c r="X2" s="649" t="n"/>
      <c r="Y2" s="649" t="n"/>
      <c r="Z2" s="649" t="n"/>
      <c r="AA2" s="649" t="n"/>
      <c r="AB2" s="649" t="n"/>
      <c r="AC2" s="38" t="n"/>
      <c r="AD2" s="38" t="n"/>
      <c r="AE2" s="38" t="n"/>
    </row>
    <row r="3" ht="15" customFormat="1" customHeight="1" s="450" thickBot="1">
      <c r="A3" s="475" t="inlineStr">
        <is>
          <t>(Pursuant to Deped Order 15 series of 2026)</t>
        </is>
      </c>
      <c r="B3" s="649" t="n"/>
      <c r="C3" s="649" t="n"/>
      <c r="D3" s="649" t="n"/>
      <c r="E3" s="649" t="n"/>
      <c r="F3" s="649" t="n"/>
      <c r="G3" s="649" t="n"/>
      <c r="H3" s="649" t="n"/>
      <c r="I3" s="649" t="n"/>
      <c r="J3" s="649" t="n"/>
      <c r="K3" s="649" t="n"/>
      <c r="L3" s="649" t="n"/>
      <c r="M3" s="649" t="n"/>
      <c r="N3" s="649" t="n"/>
      <c r="O3" s="649" t="n"/>
      <c r="P3" s="649" t="n"/>
      <c r="Q3" s="649" t="n"/>
      <c r="R3" s="649" t="n"/>
      <c r="S3" s="649" t="n"/>
      <c r="T3" s="649" t="n"/>
      <c r="U3" s="649" t="n"/>
      <c r="V3" s="649" t="n"/>
      <c r="W3" s="649" t="n"/>
      <c r="X3" s="649" t="n"/>
      <c r="Y3" s="649" t="n"/>
      <c r="Z3" s="649" t="n"/>
      <c r="AA3" s="649" t="n"/>
      <c r="AB3" s="649" t="n"/>
      <c r="AC3" s="38" t="n"/>
      <c r="AD3" s="38" t="n"/>
      <c r="AE3" s="38" t="n"/>
    </row>
    <row r="4" ht="21" customFormat="1" customHeight="1" s="450" thickBot="1">
      <c r="A4" s="39" t="n"/>
      <c r="B4" s="40" t="n"/>
      <c r="C4" s="39" t="n"/>
      <c r="D4" s="113" t="n"/>
      <c r="E4" s="113" t="n"/>
      <c r="F4" s="520" t="inlineStr">
        <is>
          <t>REGION</t>
        </is>
      </c>
      <c r="G4" s="479">
        <f>'INPUT DATA'!F10</f>
        <v/>
      </c>
      <c r="H4" s="650" t="n"/>
      <c r="I4" s="650" t="n"/>
      <c r="J4" s="650" t="n"/>
      <c r="K4" s="650" t="n"/>
      <c r="L4" s="650" t="n"/>
      <c r="M4" s="651" t="n"/>
      <c r="N4" s="33" t="n"/>
      <c r="O4" s="277" t="inlineStr">
        <is>
          <t>DIVISION</t>
        </is>
      </c>
      <c r="P4" s="277" t="n"/>
      <c r="Q4" s="263" t="n"/>
      <c r="R4" s="504">
        <f>'INPUT DATA'!F11</f>
        <v/>
      </c>
      <c r="S4" s="650" t="n"/>
      <c r="T4" s="650" t="n"/>
      <c r="U4" s="651" t="n"/>
      <c r="V4" s="33" t="n"/>
      <c r="W4" s="33" t="n"/>
      <c r="X4" s="33" t="n"/>
      <c r="Y4" s="33" t="n"/>
      <c r="Z4" s="33" t="n"/>
      <c r="AA4" s="33" t="n"/>
      <c r="AB4" s="8" t="n"/>
      <c r="AC4" s="8" t="n"/>
      <c r="AD4" s="8" t="n"/>
      <c r="AE4" s="8" t="n"/>
      <c r="AF4" s="8" t="n"/>
    </row>
    <row r="5" ht="21" customFormat="1" customHeight="1" s="450" thickBot="1">
      <c r="A5" s="39" t="n"/>
      <c r="B5" s="39" t="n"/>
      <c r="C5" s="113" t="n"/>
      <c r="D5" s="113" t="n"/>
      <c r="E5" s="113" t="n"/>
      <c r="F5" s="520" t="inlineStr">
        <is>
          <t>SCHOOL NAME</t>
        </is>
      </c>
      <c r="G5" s="652">
        <f>'INPUT DATA'!F14</f>
        <v/>
      </c>
      <c r="H5" s="650" t="n"/>
      <c r="I5" s="650" t="n"/>
      <c r="J5" s="650" t="n"/>
      <c r="K5" s="650" t="n"/>
      <c r="L5" s="650" t="n"/>
      <c r="M5" s="653" t="n"/>
      <c r="N5" s="523" t="n"/>
      <c r="O5" s="277" t="inlineStr">
        <is>
          <t>SCHOOL ID</t>
        </is>
      </c>
      <c r="P5" s="277" t="n"/>
      <c r="Q5" s="32" t="n"/>
      <c r="R5" s="654">
        <f>IF('INPUT DATA'!F13="","", 'INPUT DATA'!F13)</f>
        <v/>
      </c>
      <c r="S5" s="650" t="n"/>
      <c r="T5" s="650" t="n"/>
      <c r="U5" s="653" t="n"/>
      <c r="V5" s="277" t="n"/>
      <c r="W5" s="655" t="inlineStr">
        <is>
          <t>SCHOOL YEAR</t>
        </is>
      </c>
      <c r="X5" s="650" t="n"/>
      <c r="Y5" s="653" t="n"/>
      <c r="Z5" s="656">
        <f>'INPUT DATA'!F16</f>
        <v/>
      </c>
      <c r="AA5" s="650" t="n"/>
      <c r="AB5" s="653" t="n"/>
      <c r="AC5" s="8" t="n"/>
      <c r="AD5" s="8" t="n"/>
      <c r="AE5" s="8" t="n"/>
      <c r="AF5" s="8" t="n"/>
    </row>
    <row r="6" ht="15" customFormat="1" customHeight="1" s="450" thickBot="1">
      <c r="A6" s="168" t="n"/>
      <c r="B6" s="520" t="n"/>
      <c r="C6" s="520" t="n"/>
      <c r="D6" s="520" t="n"/>
      <c r="E6" s="520" t="n"/>
      <c r="F6" s="520" t="n"/>
      <c r="G6" s="32" t="n"/>
      <c r="H6" s="32" t="n"/>
      <c r="I6" s="32" t="n"/>
      <c r="J6" s="32" t="n"/>
      <c r="K6" s="32" t="n"/>
      <c r="L6" s="32" t="n"/>
      <c r="M6" s="32" t="n"/>
      <c r="N6" s="523" t="n"/>
      <c r="O6" s="28" t="n"/>
      <c r="P6" s="28" t="n"/>
      <c r="Q6" s="32" t="n"/>
      <c r="R6" s="28" t="n"/>
      <c r="S6" s="28" t="n"/>
      <c r="T6" s="28" t="n"/>
      <c r="U6" s="28" t="n"/>
      <c r="V6" s="28" t="n"/>
      <c r="W6" s="28" t="n"/>
      <c r="X6" s="32" t="n"/>
      <c r="Y6" s="32" t="n"/>
      <c r="Z6" s="32" t="n"/>
      <c r="AA6" s="32" t="n"/>
      <c r="AB6" s="31" t="n"/>
      <c r="AC6" s="8" t="n"/>
      <c r="AD6" s="8" t="n"/>
      <c r="AE6" s="8" t="n"/>
      <c r="AF6" s="8" t="n"/>
    </row>
    <row r="7" ht="26.25" customHeight="1" thickBot="1">
      <c r="A7" s="657" t="inlineStr">
        <is>
          <t xml:space="preserve">FIRST TERM </t>
        </is>
      </c>
      <c r="B7" s="658" t="n"/>
      <c r="C7" s="658" t="n"/>
      <c r="D7" s="658" t="n"/>
      <c r="E7" s="659" t="n"/>
      <c r="F7" s="660" t="inlineStr">
        <is>
          <t>GRADE LEVEL  AND SECTION</t>
        </is>
      </c>
      <c r="G7" s="658" t="n"/>
      <c r="H7" s="658" t="n"/>
      <c r="I7" s="658" t="n"/>
      <c r="J7" s="658" t="n"/>
      <c r="K7" s="661">
        <f>'INPUT DATA'!F24&amp;" - "&amp;'INPUT DATA'!F25</f>
        <v/>
      </c>
      <c r="L7" s="658" t="n"/>
      <c r="M7" s="658" t="n"/>
      <c r="N7" s="658" t="n"/>
      <c r="O7" s="658" t="n"/>
      <c r="P7" s="662" t="n"/>
      <c r="Q7" s="503" t="inlineStr">
        <is>
          <t>TEACHER:</t>
        </is>
      </c>
      <c r="R7" s="650" t="n"/>
      <c r="S7" s="512">
        <f>IF('INPUT DATA'!F22="","", 'INPUT DATA'!F22)</f>
        <v/>
      </c>
      <c r="T7" s="650" t="n"/>
      <c r="U7" s="650" t="n"/>
      <c r="V7" s="650" t="n"/>
      <c r="W7" s="650" t="n"/>
      <c r="X7" s="510" t="inlineStr">
        <is>
          <t>SUBJECT:</t>
        </is>
      </c>
      <c r="Y7" s="651" t="n"/>
      <c r="Z7" s="507">
        <f>IF('INPUT DATA'!F30&lt;&gt;"",'INPUT DATA'!F30,'INPUT DATA'!F28)</f>
        <v/>
      </c>
      <c r="AA7" s="650" t="n"/>
      <c r="AB7" s="651" t="n"/>
    </row>
    <row r="8" ht="23.25" customHeight="1" thickBot="1">
      <c r="A8" s="663" t="n"/>
      <c r="B8" s="664" t="n"/>
      <c r="C8" s="664" t="n"/>
      <c r="D8" s="664" t="n"/>
      <c r="E8" s="665" t="n"/>
      <c r="F8" s="666" t="n"/>
      <c r="G8" s="664" t="n"/>
      <c r="H8" s="664" t="n"/>
      <c r="I8" s="664" t="n"/>
      <c r="J8" s="664" t="n"/>
      <c r="K8" s="663" t="n"/>
      <c r="L8" s="664" t="n"/>
      <c r="M8" s="664" t="n"/>
      <c r="N8" s="664" t="n"/>
      <c r="O8" s="664" t="n"/>
      <c r="P8" s="667" t="n"/>
      <c r="Q8" s="486" t="inlineStr">
        <is>
          <t>TRACK:</t>
        </is>
      </c>
      <c r="R8" s="650" t="n"/>
      <c r="S8" s="489">
        <f>'INPUT DATA'!F23</f>
        <v/>
      </c>
      <c r="T8" s="650" t="n"/>
      <c r="U8" s="650" t="n"/>
      <c r="V8" s="650" t="n"/>
      <c r="W8" s="653" t="n"/>
      <c r="X8" s="501" t="inlineStr">
        <is>
          <t>SUBJECT TYPE:</t>
        </is>
      </c>
      <c r="Y8" s="650" t="n"/>
      <c r="Z8" s="500">
        <f>'INPUT DATA'!F26</f>
        <v/>
      </c>
      <c r="AA8" s="650" t="n"/>
      <c r="AB8" s="653" t="n"/>
    </row>
    <row r="9" ht="55.5" customFormat="1" customHeight="1" s="35" thickBot="1">
      <c r="A9" s="456" t="inlineStr">
        <is>
          <t>LEARNERS' NAMES</t>
        </is>
      </c>
      <c r="B9" s="649" t="n"/>
      <c r="C9" s="649" t="n"/>
      <c r="D9" s="649" t="n"/>
      <c r="E9" s="649" t="n"/>
      <c r="F9" s="668">
        <f>IF('INPUT DATA'!$F$26="","",INDEX('Helper(IMPORTANT!)'!$CI$2:$CI$6,MATCH(Z8,'Helper(IMPORTANT!)'!$CH$2:$CH$6,0)))</f>
        <v/>
      </c>
      <c r="G9" s="664" t="n"/>
      <c r="H9" s="664" t="n"/>
      <c r="I9" s="664" t="n"/>
      <c r="J9" s="664" t="n"/>
      <c r="K9" s="664" t="n"/>
      <c r="L9" s="664" t="n"/>
      <c r="M9" s="665" t="n"/>
      <c r="N9" s="668">
        <f>IF('INPUT DATA'!$F$26="","",INDEX('Helper(IMPORTANT!)'!$CJ$2:$CJ$6,MATCH(Z8,'Helper(IMPORTANT!)'!$CH$2:$CH$6,0)))</f>
        <v/>
      </c>
      <c r="O9" s="664" t="n"/>
      <c r="P9" s="664" t="n"/>
      <c r="Q9" s="664" t="n"/>
      <c r="R9" s="664" t="n"/>
      <c r="S9" s="665" t="n"/>
      <c r="T9" s="668">
        <f>IF('INPUT DATA'!$F$26="","",INDEX('Helper(IMPORTANT!)'!$CK$2:$CK$6,MATCH(Z8,'Helper(IMPORTANT!)'!$CH$2:$CH$6,0)))</f>
        <v/>
      </c>
      <c r="U9" s="664" t="n"/>
      <c r="V9" s="664" t="n"/>
      <c r="W9" s="664" t="n"/>
      <c r="X9" s="664" t="n"/>
      <c r="Y9" s="665" t="n"/>
      <c r="Z9" s="464" t="inlineStr">
        <is>
          <t>Initial
Grade</t>
        </is>
      </c>
      <c r="AA9" s="453" t="inlineStr">
        <is>
          <t>Transmuted Grade</t>
        </is>
      </c>
      <c r="AB9" s="452" t="inlineStr">
        <is>
          <t>Letter Grade</t>
        </is>
      </c>
    </row>
    <row r="10" ht="18" customFormat="1" customHeight="1" s="35" thickBot="1">
      <c r="A10" s="663" t="n"/>
      <c r="B10" s="664" t="n"/>
      <c r="C10" s="664" t="n"/>
      <c r="D10" s="664" t="n"/>
      <c r="E10" s="664" t="n"/>
      <c r="F10" s="50" t="n">
        <v>1</v>
      </c>
      <c r="G10" s="44" t="n">
        <v>2</v>
      </c>
      <c r="H10" s="44" t="n">
        <v>3</v>
      </c>
      <c r="I10" s="44" t="n">
        <v>4</v>
      </c>
      <c r="J10" s="44" t="n">
        <v>5</v>
      </c>
      <c r="K10" s="34" t="inlineStr">
        <is>
          <t>Total</t>
        </is>
      </c>
      <c r="L10" s="43" t="inlineStr">
        <is>
          <t>PS</t>
        </is>
      </c>
      <c r="M10" s="53" t="inlineStr">
        <is>
          <t>WS</t>
        </is>
      </c>
      <c r="N10" s="50" t="n">
        <v>1</v>
      </c>
      <c r="O10" s="44" t="n">
        <v>2</v>
      </c>
      <c r="P10" s="44" t="n">
        <v>3</v>
      </c>
      <c r="Q10" s="34" t="inlineStr">
        <is>
          <t>Total</t>
        </is>
      </c>
      <c r="R10" s="43" t="inlineStr">
        <is>
          <t>PS</t>
        </is>
      </c>
      <c r="S10" s="53" t="inlineStr">
        <is>
          <t>WS</t>
        </is>
      </c>
      <c r="T10" s="357" t="inlineStr">
        <is>
          <t>SA1</t>
        </is>
      </c>
      <c r="U10" s="358" t="inlineStr">
        <is>
          <t>SA2</t>
        </is>
      </c>
      <c r="V10" s="358" t="inlineStr">
        <is>
          <t>TE</t>
        </is>
      </c>
      <c r="W10" s="358" t="inlineStr">
        <is>
          <t>Total</t>
        </is>
      </c>
      <c r="X10" s="43" t="inlineStr">
        <is>
          <t>PS</t>
        </is>
      </c>
      <c r="Y10" s="53" t="inlineStr">
        <is>
          <t>WS</t>
        </is>
      </c>
      <c r="Z10" s="669" t="n"/>
      <c r="AA10" s="670" t="n"/>
      <c r="AB10" s="670" t="n"/>
      <c r="AF10" s="450" t="n"/>
      <c r="AG10" s="649" t="n"/>
      <c r="AH10" s="649" t="n"/>
      <c r="AI10" s="649" t="n"/>
    </row>
    <row r="11" ht="18" customFormat="1" customHeight="1" s="451" thickBot="1">
      <c r="A11" s="454" t="inlineStr">
        <is>
          <t>HIGHEST POSSIBLE SCORE</t>
        </is>
      </c>
      <c r="B11" s="649" t="n"/>
      <c r="C11" s="649" t="n"/>
      <c r="D11" s="649" t="n"/>
      <c r="E11" s="649" t="n"/>
      <c r="F11" s="261" t="n"/>
      <c r="G11" s="262" t="n"/>
      <c r="H11" s="262" t="n"/>
      <c r="I11" s="262" t="n"/>
      <c r="J11" s="262" t="n"/>
      <c r="K11" s="57">
        <f>IF(COUNT($F11:$J11)=0,"",SUM($F11:$J11))</f>
        <v/>
      </c>
      <c r="L11" s="56" t="n">
        <v>100</v>
      </c>
      <c r="M11" s="58">
        <f>IF('INPUT DATA'!$F$26="","",INDEX('Helper(IMPORTANT!)'!$CL$2:$CL$6,MATCH(Z8,'Helper(IMPORTANT!)'!$CH$2:$CH$6,0)))</f>
        <v/>
      </c>
      <c r="N11" s="261" t="n"/>
      <c r="O11" s="262" t="n"/>
      <c r="P11" s="262" t="n"/>
      <c r="Q11" s="57">
        <f>IF(COUNT($N11:$P11)=0,"",SUM($N11:$P11))</f>
        <v/>
      </c>
      <c r="R11" s="56" t="n">
        <v>100</v>
      </c>
      <c r="S11" s="58">
        <f>IF('INPUT DATA'!$F$26="","",INDEX('Helper(IMPORTANT!)'!$CM$2:$CM$6,MATCH(Z8,'Helper(IMPORTANT!)'!$CH$2:$CH$6,0)))</f>
        <v/>
      </c>
      <c r="T11" s="264" t="n">
        <v>50</v>
      </c>
      <c r="U11" s="262" t="n"/>
      <c r="V11" s="262" t="n"/>
      <c r="W11" s="355">
        <f>IF(COUNT($T11:$V11)=0,"",SUM($T11:$V11))</f>
        <v/>
      </c>
      <c r="X11" s="270" t="n">
        <v>100</v>
      </c>
      <c r="Y11" s="58">
        <f>IF('INPUT DATA'!$F$26="","",INDEX('Helper(IMPORTANT!)'!$CN$2:$CN$6,MATCH(Z8,'Helper(IMPORTANT!)'!$CH$2:$CH$6,0)))</f>
        <v/>
      </c>
      <c r="Z11" s="669" t="n"/>
      <c r="AA11" s="671" t="n"/>
      <c r="AB11" s="670" t="n"/>
      <c r="AF11" s="450" t="n"/>
      <c r="AG11" s="450" t="n"/>
      <c r="AH11" s="450" t="n"/>
      <c r="AI11" s="450" t="n"/>
    </row>
    <row r="12" ht="18" customFormat="1" customHeight="1" s="451" thickBot="1">
      <c r="A12" s="672" t="inlineStr">
        <is>
          <t xml:space="preserve">MALE </t>
        </is>
      </c>
      <c r="B12" s="650" t="n"/>
      <c r="C12" s="650" t="n"/>
      <c r="D12" s="650" t="n"/>
      <c r="E12" s="650" t="n"/>
      <c r="F12" s="650" t="n"/>
      <c r="G12" s="650" t="n"/>
      <c r="H12" s="650" t="n"/>
      <c r="I12" s="650" t="n"/>
      <c r="J12" s="650" t="n"/>
      <c r="K12" s="650" t="n"/>
      <c r="L12" s="650" t="n"/>
      <c r="M12" s="650" t="n"/>
      <c r="N12" s="650" t="n"/>
      <c r="O12" s="650" t="n"/>
      <c r="P12" s="650" t="n"/>
      <c r="Q12" s="650" t="n"/>
      <c r="R12" s="650" t="n"/>
      <c r="S12" s="650" t="n"/>
      <c r="T12" s="650" t="n"/>
      <c r="U12" s="650" t="n"/>
      <c r="V12" s="650" t="n"/>
      <c r="W12" s="650" t="n"/>
      <c r="X12" s="650" t="n"/>
      <c r="Y12" s="650" t="n"/>
      <c r="Z12" s="650" t="n"/>
      <c r="AA12" s="650" t="n"/>
      <c r="AB12" s="653" t="n"/>
      <c r="AF12" s="450" t="n"/>
      <c r="AG12" s="450" t="n"/>
      <c r="AH12" s="450" t="n"/>
      <c r="AI12" s="450" t="n"/>
    </row>
    <row r="13" ht="18" customHeight="1">
      <c r="A13" s="169" t="n">
        <v>1</v>
      </c>
      <c r="B13" s="442">
        <f>'INPUT DATA'!L11</f>
        <v/>
      </c>
      <c r="C13" s="673" t="n"/>
      <c r="D13" s="673" t="n"/>
      <c r="E13" s="674" t="n"/>
      <c r="F13" s="51" t="n"/>
      <c r="G13" s="46" t="n"/>
      <c r="H13" s="46" t="n"/>
      <c r="I13" s="46" t="n"/>
      <c r="J13" s="46" t="n"/>
      <c r="K13" s="48">
        <f>IF(COUNT($F13:$J13)=0,"",SUM($F13:$J13))</f>
        <v/>
      </c>
      <c r="L13" s="47">
        <f>IFERROR(IF(K13="","",ROUND(K13/$K$11*100,2)),"")</f>
        <v/>
      </c>
      <c r="M13" s="54">
        <f>IFERROR(IF(L13="","",ROUND(L13*$M$11,2)),"")</f>
        <v/>
      </c>
      <c r="N13" s="51" t="n"/>
      <c r="O13" s="46" t="n"/>
      <c r="P13" s="46" t="n"/>
      <c r="Q13" s="48">
        <f>IF(COUNT($N13:$P13)=0,"",SUM($N13:$P13))</f>
        <v/>
      </c>
      <c r="R13" s="47">
        <f>IFERROR(IF(Q13="","",ROUND(Q13/$Q$11*100,2)),"")</f>
        <v/>
      </c>
      <c r="S13" s="54">
        <f>IFERROR(IF(R13="","",ROUND(R13*$S$11,2)),"")</f>
        <v/>
      </c>
      <c r="T13" s="287" t="n">
        <v>35</v>
      </c>
      <c r="U13" s="45" t="n"/>
      <c r="V13" s="273" t="n"/>
      <c r="W13" s="272">
        <f>IF(COUNT($T13:$V13)=0,"",SUM($T13:$V13))</f>
        <v/>
      </c>
      <c r="X13" s="271">
        <f>IFERROR(IF(W13="","",ROUND((($T13/$T$11)*30 + ($U13/$U$11)*30 + ($V13/$V$11)*40),2)),"")</f>
        <v/>
      </c>
      <c r="Y13" s="54">
        <f>IFERROR(IF(X13="","",ROUND(X13*$Y$11,2)),"")</f>
        <v/>
      </c>
      <c r="Z13" s="55">
        <f>IFERROR(M13+S13+Y13,"")</f>
        <v/>
      </c>
      <c r="AA13" s="274">
        <f>IFERROR(VLOOKUP(Z13,'Helper(IMPORTANT!)'!$CQ$1:$CR$41,2,TRUE),"")</f>
        <v/>
      </c>
      <c r="AB13" s="170">
        <f t="array" ref="AB13">IF(AA13="", "", _xlfn.IFS(AA13&gt;=90, "A", AA13&gt;=80, "B", AA13&gt;=75, "C", AA13&gt;=65, "D", AA13&gt;=0, "E"))</f>
        <v/>
      </c>
      <c r="AD13" s="39" t="n"/>
      <c r="AF13" s="451" t="n"/>
      <c r="AG13" s="649" t="n"/>
      <c r="AH13" s="649" t="n"/>
      <c r="AI13" s="649" t="n"/>
    </row>
    <row r="14" ht="18" customHeight="1">
      <c r="A14" s="169" t="n">
        <v>2</v>
      </c>
      <c r="B14" s="442">
        <f>'INPUT DATA'!L12</f>
        <v/>
      </c>
      <c r="C14" s="673" t="n"/>
      <c r="D14" s="673" t="n"/>
      <c r="E14" s="674" t="n"/>
      <c r="F14" s="51" t="n"/>
      <c r="G14" s="46" t="n"/>
      <c r="H14" s="46" t="n"/>
      <c r="I14" s="46" t="n"/>
      <c r="J14" s="46" t="n"/>
      <c r="K14" s="48">
        <f>IF(COUNT($F14:$J14)=0,"",SUM($F14:$J14))</f>
        <v/>
      </c>
      <c r="L14" s="47">
        <f>IFERROR(IF(K14="","",ROUND(K14/$K$11*100,2)),"")</f>
        <v/>
      </c>
      <c r="M14" s="54">
        <f>IFERROR(IF(L14="","",ROUND(L14*$M$11,2)),"")</f>
        <v/>
      </c>
      <c r="N14" s="51" t="n"/>
      <c r="O14" s="46" t="n"/>
      <c r="P14" s="46" t="n"/>
      <c r="Q14" s="48">
        <f>IF(COUNT($N14:$P14)=0,"",SUM($N14:$P14))</f>
        <v/>
      </c>
      <c r="R14" s="47">
        <f>IFERROR(IF(Q14="","",ROUND(Q14/$Q$11*100,2)),"")</f>
        <v/>
      </c>
      <c r="S14" s="54">
        <f>IFERROR(IF(R14="","",ROUND(R14*$S$11,2)),"")</f>
        <v/>
      </c>
      <c r="T14" s="265" t="n">
        <v>38</v>
      </c>
      <c r="U14" s="46" t="n"/>
      <c r="V14" s="268" t="n"/>
      <c r="W14" s="272">
        <f>IF(COUNT($T14:$V14)=0,"",SUM($T14:$V14))</f>
        <v/>
      </c>
      <c r="X14" s="352">
        <f>IFERROR(IF(W14="","",ROUND((($T14/$T$11)*30 + ($U14/$U$11)*30 + ($V14/$V$11)*40),2)),"")</f>
        <v/>
      </c>
      <c r="Y14" s="54">
        <f>IFERROR(IF(X14="","",ROUND(X14*$Y$11,2)),"")</f>
        <v/>
      </c>
      <c r="Z14" s="55">
        <f>IFERROR(M14+S14+Y14,"")</f>
        <v/>
      </c>
      <c r="AA14" s="274">
        <f>IFERROR(VLOOKUP(Z14,'Helper(IMPORTANT!)'!$CQ$1:$CR$41,2,TRUE),"")</f>
        <v/>
      </c>
      <c r="AB14" s="170">
        <f t="array" ref="AB14">IF(AA14="", "", _xlfn.IFS(AA14&gt;=90, "A", AA14&gt;=80, "B", AA14&gt;=75, "C", AA14&gt;=65, "D", AA14&gt;=0, "E"))</f>
        <v/>
      </c>
      <c r="AD14" s="39" t="n"/>
      <c r="AF14" s="451" t="n"/>
      <c r="AG14" s="649" t="n"/>
      <c r="AH14" s="649" t="n"/>
      <c r="AI14" s="649" t="n"/>
    </row>
    <row r="15" ht="18" customHeight="1">
      <c r="A15" s="169" t="n">
        <v>3</v>
      </c>
      <c r="B15" s="442">
        <f>'INPUT DATA'!L13</f>
        <v/>
      </c>
      <c r="C15" s="673" t="n"/>
      <c r="D15" s="673" t="n"/>
      <c r="E15" s="674" t="n"/>
      <c r="F15" s="51" t="n"/>
      <c r="G15" s="46" t="n"/>
      <c r="H15" s="46" t="n"/>
      <c r="I15" s="46" t="n"/>
      <c r="J15" s="46" t="n"/>
      <c r="K15" s="48">
        <f>IF(COUNT($F15:$J15)=0,"",SUM($F15:$J15))</f>
        <v/>
      </c>
      <c r="L15" s="47">
        <f>IFERROR(IF(K15="","",ROUND(K15/$K$11*100,2)),"")</f>
        <v/>
      </c>
      <c r="M15" s="54">
        <f>IFERROR(IF(L15="","",ROUND(L15*$M$11,2)),"")</f>
        <v/>
      </c>
      <c r="N15" s="51" t="n"/>
      <c r="O15" s="46" t="n"/>
      <c r="P15" s="46" t="n"/>
      <c r="Q15" s="48">
        <f>IF(COUNT($N15:$P15)=0,"",SUM($N15:$P15))</f>
        <v/>
      </c>
      <c r="R15" s="47">
        <f>IFERROR(IF(Q15="","",ROUND(Q15/$Q$11*100,2)),"")</f>
        <v/>
      </c>
      <c r="S15" s="54">
        <f>IFERROR(IF(R15="","",ROUND(R15*$S$11,2)),"")</f>
        <v/>
      </c>
      <c r="T15" s="265" t="n">
        <v>44</v>
      </c>
      <c r="U15" s="46" t="n"/>
      <c r="V15" s="268" t="n"/>
      <c r="W15" s="272">
        <f>IF(COUNT($T15:$V15)=0,"",SUM($T15:$V15))</f>
        <v/>
      </c>
      <c r="X15" s="352">
        <f>IFERROR(IF(W15="","",ROUND((($T15/$T$11)*30 + ($U15/$U$11)*30 + ($V15/$V$11)*40),2)),"")</f>
        <v/>
      </c>
      <c r="Y15" s="54">
        <f>IFERROR(IF(X15="","",ROUND(X15*$Y$11,2)),"")</f>
        <v/>
      </c>
      <c r="Z15" s="55">
        <f>IFERROR(M15+S15+Y15,"")</f>
        <v/>
      </c>
      <c r="AA15" s="274">
        <f>IFERROR(VLOOKUP(Z15,'Helper(IMPORTANT!)'!$CQ$1:$CR$41,2,TRUE),"")</f>
        <v/>
      </c>
      <c r="AB15" s="170">
        <f t="array" ref="AB15">IF(AA15="", "", _xlfn.IFS(AA15&gt;=90, "A", AA15&gt;=80, "B", AA15&gt;=75, "C", AA15&gt;=65, "D", AA15&gt;=0, "E"))</f>
        <v/>
      </c>
      <c r="AD15" s="39" t="n"/>
      <c r="AF15" s="451" t="n"/>
      <c r="AG15" s="649" t="n"/>
      <c r="AH15" s="649" t="n"/>
      <c r="AI15" s="649" t="n"/>
    </row>
    <row r="16" ht="18" customHeight="1">
      <c r="A16" s="169" t="n">
        <v>4</v>
      </c>
      <c r="B16" s="442">
        <f>'INPUT DATA'!L14</f>
        <v/>
      </c>
      <c r="C16" s="673" t="n"/>
      <c r="D16" s="673" t="n"/>
      <c r="E16" s="674" t="n"/>
      <c r="F16" s="52" t="n"/>
      <c r="G16" s="49" t="n"/>
      <c r="H16" s="49" t="n"/>
      <c r="I16" s="49" t="n"/>
      <c r="J16" s="49" t="n"/>
      <c r="K16" s="48">
        <f>IF(COUNT($F16:$J16)=0,"",SUM($F16:$J16))</f>
        <v/>
      </c>
      <c r="L16" s="47">
        <f>IFERROR(IF(K16="","",ROUND(K16/$K$11*100,2)),"")</f>
        <v/>
      </c>
      <c r="M16" s="54">
        <f>IFERROR(IF(L16="","",ROUND(L16*$M$11,2)),"")</f>
        <v/>
      </c>
      <c r="N16" s="52" t="n"/>
      <c r="O16" s="49" t="n"/>
      <c r="P16" s="49" t="n"/>
      <c r="Q16" s="48">
        <f>IF(COUNT($N16:$P16)=0,"",SUM($N16:$P16))</f>
        <v/>
      </c>
      <c r="R16" s="47">
        <f>IFERROR(IF(Q16="","",ROUND(Q16/$Q$11*100,2)),"")</f>
        <v/>
      </c>
      <c r="S16" s="54">
        <f>IFERROR(IF(R16="","",ROUND(R16*$S$11,2)),"")</f>
        <v/>
      </c>
      <c r="T16" s="265" t="n">
        <v>37</v>
      </c>
      <c r="U16" s="46" t="n"/>
      <c r="V16" s="268" t="n"/>
      <c r="W16" s="272">
        <f>IF(COUNT($T16:$V16)=0,"",SUM($T16:$V16))</f>
        <v/>
      </c>
      <c r="X16" s="352">
        <f>IFERROR(IF(W16="","",ROUND((($T16/$T$11)*30 + ($U16/$U$11)*30 + ($V16/$V$11)*40),2)),"")</f>
        <v/>
      </c>
      <c r="Y16" s="54">
        <f>IFERROR(IF(X16="","",ROUND(X16*$Y$11,2)),"")</f>
        <v/>
      </c>
      <c r="Z16" s="55">
        <f>IFERROR(M16+S16+Y16,"")</f>
        <v/>
      </c>
      <c r="AA16" s="274">
        <f>IFERROR(VLOOKUP(Z16,'Helper(IMPORTANT!)'!$CQ$1:$CR$41,2,TRUE),"")</f>
        <v/>
      </c>
      <c r="AB16" s="170">
        <f t="array" ref="AB16">IF(AA16="", "", _xlfn.IFS(AA16&gt;=90, "A", AA16&gt;=80, "B", AA16&gt;=75, "C", AA16&gt;=65, "D", AA16&gt;=0, "E"))</f>
        <v/>
      </c>
      <c r="AD16" s="39" t="n"/>
      <c r="AF16" s="451" t="n"/>
      <c r="AG16" s="649" t="n"/>
      <c r="AH16" s="649" t="n"/>
      <c r="AI16" s="649" t="n"/>
    </row>
    <row r="17" ht="18" customHeight="1">
      <c r="A17" s="169" t="n">
        <v>5</v>
      </c>
      <c r="B17" s="442">
        <f>'INPUT DATA'!L15</f>
        <v/>
      </c>
      <c r="C17" s="673" t="n"/>
      <c r="D17" s="673" t="n"/>
      <c r="E17" s="674" t="n"/>
      <c r="F17" s="52" t="n"/>
      <c r="G17" s="49" t="n"/>
      <c r="H17" s="49" t="n"/>
      <c r="I17" s="49" t="n"/>
      <c r="J17" s="49" t="n"/>
      <c r="K17" s="48">
        <f>IF(COUNT($F17:$J17)=0,"",SUM($F17:$J17))</f>
        <v/>
      </c>
      <c r="L17" s="47">
        <f>IFERROR(IF(K17="","",ROUND(K17/$K$11*100,2)),"")</f>
        <v/>
      </c>
      <c r="M17" s="54">
        <f>IFERROR(IF(L17="","",ROUND(L17*$M$11,2)),"")</f>
        <v/>
      </c>
      <c r="N17" s="52" t="n"/>
      <c r="O17" s="49" t="n"/>
      <c r="P17" s="49" t="n"/>
      <c r="Q17" s="48">
        <f>IF(COUNT($N17:$P17)=0,"",SUM($N17:$P17))</f>
        <v/>
      </c>
      <c r="R17" s="47">
        <f>IFERROR(IF(Q17="","",ROUND(Q17/$Q$11*100,2)),"")</f>
        <v/>
      </c>
      <c r="S17" s="54">
        <f>IFERROR(IF(R17="","",ROUND(R17*$S$11,2)),"")</f>
        <v/>
      </c>
      <c r="T17" s="265" t="n">
        <v>35</v>
      </c>
      <c r="U17" s="46" t="n"/>
      <c r="V17" s="268" t="n"/>
      <c r="W17" s="272">
        <f>IF(COUNT($T17:$V17)=0,"",SUM($T17:$V17))</f>
        <v/>
      </c>
      <c r="X17" s="352">
        <f>IFERROR(IF(W17="","",ROUND((($T17/$T$11)*30 + ($U17/$U$11)*30 + ($V17/$V$11)*40),2)),"")</f>
        <v/>
      </c>
      <c r="Y17" s="54">
        <f>IFERROR(IF(X17="","",ROUND(X17*$Y$11,2)),"")</f>
        <v/>
      </c>
      <c r="Z17" s="55">
        <f>IFERROR(M17+S17+Y17,"")</f>
        <v/>
      </c>
      <c r="AA17" s="274">
        <f>IFERROR(VLOOKUP(Z17,'Helper(IMPORTANT!)'!$CQ$1:$CR$41,2,TRUE),"")</f>
        <v/>
      </c>
      <c r="AB17" s="170">
        <f t="array" ref="AB17">IF(AA17="", "", _xlfn.IFS(AA17&gt;=90, "A", AA17&gt;=80, "B", AA17&gt;=75, "C", AA17&gt;=65, "D", AA17&gt;=0, "E"))</f>
        <v/>
      </c>
      <c r="AD17" s="39" t="n"/>
      <c r="AF17" s="451" t="n"/>
      <c r="AG17" s="649" t="n"/>
      <c r="AH17" s="649" t="n"/>
      <c r="AI17" s="649" t="n"/>
    </row>
    <row r="18" ht="18" customHeight="1">
      <c r="A18" s="169" t="n">
        <v>6</v>
      </c>
      <c r="B18" s="442">
        <f>'INPUT DATA'!L16</f>
        <v/>
      </c>
      <c r="C18" s="673" t="n"/>
      <c r="D18" s="673" t="n"/>
      <c r="E18" s="674" t="n"/>
      <c r="F18" s="52" t="n"/>
      <c r="G18" s="49" t="n"/>
      <c r="H18" s="49" t="n"/>
      <c r="I18" s="49" t="n"/>
      <c r="J18" s="49" t="n"/>
      <c r="K18" s="48">
        <f>IF(COUNT($F18:$J18)=0,"",SUM($F18:$J18))</f>
        <v/>
      </c>
      <c r="L18" s="47">
        <f>IFERROR(IF(K18="","",ROUND(K18/$K$11*100,2)),"")</f>
        <v/>
      </c>
      <c r="M18" s="54">
        <f>IFERROR(IF(L18="","",ROUND(L18*$M$11,2)),"")</f>
        <v/>
      </c>
      <c r="N18" s="52" t="n"/>
      <c r="O18" s="49" t="n"/>
      <c r="P18" s="49" t="n"/>
      <c r="Q18" s="48">
        <f>IF(COUNT($N18:$P18)=0,"",SUM($N18:$P18))</f>
        <v/>
      </c>
      <c r="R18" s="47">
        <f>IFERROR(IF(Q18="","",ROUND(Q18/$Q$11*100,2)),"")</f>
        <v/>
      </c>
      <c r="S18" s="54">
        <f>IFERROR(IF(R18="","",ROUND(R18*$S$11,2)),"")</f>
        <v/>
      </c>
      <c r="T18" s="265" t="n">
        <v>26</v>
      </c>
      <c r="U18" s="46" t="n"/>
      <c r="V18" s="268" t="n"/>
      <c r="W18" s="272">
        <f>IF(COUNT($T18:$V18)=0,"",SUM($T18:$V18))</f>
        <v/>
      </c>
      <c r="X18" s="352">
        <f>IFERROR(IF(W18="","",ROUND((($T18/$T$11)*30 + ($U18/$U$11)*30 + ($V18/$V$11)*40),2)),"")</f>
        <v/>
      </c>
      <c r="Y18" s="54">
        <f>IFERROR(IF(X18="","",ROUND(X18*$Y$11,2)),"")</f>
        <v/>
      </c>
      <c r="Z18" s="55">
        <f>IFERROR(M18+S18+Y18,"")</f>
        <v/>
      </c>
      <c r="AA18" s="274">
        <f>IFERROR(VLOOKUP(Z18,'Helper(IMPORTANT!)'!$CQ$1:$CR$41,2,TRUE),"")</f>
        <v/>
      </c>
      <c r="AB18" s="170">
        <f t="array" ref="AB18">IF(AA18="", "", _xlfn.IFS(AA18&gt;=90, "A", AA18&gt;=80, "B", AA18&gt;=75, "C", AA18&gt;=65, "D", AA18&gt;=0, "E"))</f>
        <v/>
      </c>
      <c r="AD18" s="39" t="n"/>
      <c r="AF18" s="451" t="n"/>
      <c r="AG18" s="649" t="n"/>
      <c r="AH18" s="649" t="n"/>
      <c r="AI18" s="649" t="n"/>
    </row>
    <row r="19" ht="18" customHeight="1">
      <c r="A19" s="169" t="n">
        <v>7</v>
      </c>
      <c r="B19" s="442">
        <f>'INPUT DATA'!L17</f>
        <v/>
      </c>
      <c r="C19" s="673" t="n"/>
      <c r="D19" s="673" t="n"/>
      <c r="E19" s="674" t="n"/>
      <c r="F19" s="52" t="n"/>
      <c r="G19" s="49" t="n"/>
      <c r="H19" s="49" t="n"/>
      <c r="I19" s="49" t="n"/>
      <c r="J19" s="49" t="n"/>
      <c r="K19" s="48">
        <f>IF(COUNT($F19:$J19)=0,"",SUM($F19:$J19))</f>
        <v/>
      </c>
      <c r="L19" s="47">
        <f>IFERROR(IF(K19="","",ROUND(K19/$K$11*100,2)),"")</f>
        <v/>
      </c>
      <c r="M19" s="54">
        <f>IFERROR(IF(L19="","",ROUND(L19*$M$11,2)),"")</f>
        <v/>
      </c>
      <c r="N19" s="52" t="n"/>
      <c r="O19" s="49" t="n"/>
      <c r="P19" s="49" t="n"/>
      <c r="Q19" s="48">
        <f>IF(COUNT($N19:$P19)=0,"",SUM($N19:$P19))</f>
        <v/>
      </c>
      <c r="R19" s="47">
        <f>IFERROR(IF(Q19="","",ROUND(Q19/$Q$11*100,2)),"")</f>
        <v/>
      </c>
      <c r="S19" s="54">
        <f>IFERROR(IF(R19="","",ROUND(R19*$S$11,2)),"")</f>
        <v/>
      </c>
      <c r="T19" s="265" t="n">
        <v>44</v>
      </c>
      <c r="U19" s="46" t="n"/>
      <c r="V19" s="268" t="n"/>
      <c r="W19" s="272">
        <f>IF(COUNT($T19:$V19)=0,"",SUM($T19:$V19))</f>
        <v/>
      </c>
      <c r="X19" s="352">
        <f>IFERROR(IF(W19="","",ROUND((($T19/$T$11)*30 + ($U19/$U$11)*30 + ($V19/$V$11)*40),2)),"")</f>
        <v/>
      </c>
      <c r="Y19" s="54">
        <f>IFERROR(IF(X19="","",ROUND(X19*$Y$11,2)),"")</f>
        <v/>
      </c>
      <c r="Z19" s="55">
        <f>IFERROR(M19+S19+Y19,"")</f>
        <v/>
      </c>
      <c r="AA19" s="274">
        <f>IFERROR(VLOOKUP(Z19,'Helper(IMPORTANT!)'!$CQ$1:$CR$41,2,TRUE),"")</f>
        <v/>
      </c>
      <c r="AB19" s="170">
        <f t="array" ref="AB19">IF(AA19="", "", _xlfn.IFS(AA19&gt;=90, "A", AA19&gt;=80, "B", AA19&gt;=75, "C", AA19&gt;=65, "D", AA19&gt;=0, "E"))</f>
        <v/>
      </c>
      <c r="AD19" s="39" t="n"/>
      <c r="AF19" s="451" t="n"/>
      <c r="AG19" s="649" t="n"/>
      <c r="AH19" s="649" t="n"/>
      <c r="AI19" s="649" t="n"/>
    </row>
    <row r="20" ht="18" customHeight="1">
      <c r="A20" s="169" t="n">
        <v>8</v>
      </c>
      <c r="B20" s="442">
        <f>'INPUT DATA'!L18</f>
        <v/>
      </c>
      <c r="C20" s="673" t="n"/>
      <c r="D20" s="673" t="n"/>
      <c r="E20" s="674" t="n"/>
      <c r="F20" s="52" t="n"/>
      <c r="G20" s="49" t="n"/>
      <c r="H20" s="49" t="n"/>
      <c r="I20" s="49" t="n"/>
      <c r="J20" s="49" t="n"/>
      <c r="K20" s="48">
        <f>IF(COUNT($F20:$J20)=0,"",SUM($F20:$J20))</f>
        <v/>
      </c>
      <c r="L20" s="47">
        <f>IFERROR(IF(K20="","",ROUND(K20/$K$11*100,2)),"")</f>
        <v/>
      </c>
      <c r="M20" s="54">
        <f>IFERROR(IF(L20="","",ROUND(L20*$M$11,2)),"")</f>
        <v/>
      </c>
      <c r="N20" s="52" t="n"/>
      <c r="O20" s="49" t="n"/>
      <c r="P20" s="49" t="n"/>
      <c r="Q20" s="48">
        <f>IF(COUNT($N20:$P20)=0,"",SUM($N20:$P20))</f>
        <v/>
      </c>
      <c r="R20" s="47">
        <f>IFERROR(IF(Q20="","",ROUND(Q20/$Q$11*100,2)),"")</f>
        <v/>
      </c>
      <c r="S20" s="54">
        <f>IFERROR(IF(R20="","",ROUND(R20*$S$11,2)),"")</f>
        <v/>
      </c>
      <c r="T20" s="265" t="n">
        <v>44</v>
      </c>
      <c r="U20" s="46" t="n"/>
      <c r="V20" s="268" t="n"/>
      <c r="W20" s="272">
        <f>IF(COUNT($T20:$V20)=0,"",SUM($T20:$V20))</f>
        <v/>
      </c>
      <c r="X20" s="352">
        <f>IFERROR(IF(W20="","",ROUND((($T20/$T$11)*30 + ($U20/$U$11)*30 + ($V20/$V$11)*40),2)),"")</f>
        <v/>
      </c>
      <c r="Y20" s="54">
        <f>IFERROR(IF(X20="","",ROUND(X20*$Y$11,2)),"")</f>
        <v/>
      </c>
      <c r="Z20" s="55">
        <f>IFERROR(M20+S20+Y20,"")</f>
        <v/>
      </c>
      <c r="AA20" s="274">
        <f>IFERROR(VLOOKUP(Z20,'Helper(IMPORTANT!)'!$CQ$1:$CR$41,2,TRUE),"")</f>
        <v/>
      </c>
      <c r="AB20" s="170">
        <f t="array" ref="AB20">IF(AA20="", "", _xlfn.IFS(AA20&gt;=90, "A", AA20&gt;=80, "B", AA20&gt;=75, "C", AA20&gt;=65, "D", AA20&gt;=0, "E"))</f>
        <v/>
      </c>
      <c r="AD20" s="39" t="n"/>
      <c r="AF20" s="451" t="n"/>
      <c r="AG20" s="649" t="n"/>
      <c r="AH20" s="649" t="n"/>
      <c r="AI20" s="649" t="n"/>
    </row>
    <row r="21" ht="18" customHeight="1">
      <c r="A21" s="169" t="n">
        <v>9</v>
      </c>
      <c r="B21" s="442">
        <f>'INPUT DATA'!L19</f>
        <v/>
      </c>
      <c r="C21" s="673" t="n"/>
      <c r="D21" s="673" t="n"/>
      <c r="E21" s="674" t="n"/>
      <c r="F21" s="52" t="n"/>
      <c r="G21" s="49" t="n"/>
      <c r="H21" s="49" t="n"/>
      <c r="I21" s="49" t="n"/>
      <c r="J21" s="49" t="n"/>
      <c r="K21" s="48">
        <f>IF(COUNT($F21:$J21)=0,"",SUM($F21:$J21))</f>
        <v/>
      </c>
      <c r="L21" s="47">
        <f>IFERROR(IF(K21="","",ROUND(K21/$K$11*100,2)),"")</f>
        <v/>
      </c>
      <c r="M21" s="54">
        <f>IFERROR(IF(L21="","",ROUND(L21*$M$11,2)),"")</f>
        <v/>
      </c>
      <c r="N21" s="52" t="n"/>
      <c r="O21" s="49" t="n"/>
      <c r="P21" s="49" t="n"/>
      <c r="Q21" s="48">
        <f>IF(COUNT($N21:$P21)=0,"",SUM($N21:$P21))</f>
        <v/>
      </c>
      <c r="R21" s="47">
        <f>IFERROR(IF(Q21="","",ROUND(Q21/$Q$11*100,2)),"")</f>
        <v/>
      </c>
      <c r="S21" s="54">
        <f>IFERROR(IF(R21="","",ROUND(R21*$S$11,2)),"")</f>
        <v/>
      </c>
      <c r="T21" s="265" t="n">
        <v>39</v>
      </c>
      <c r="U21" s="46" t="n"/>
      <c r="V21" s="268" t="n"/>
      <c r="W21" s="272">
        <f>IF(COUNT($T21:$V21)=0,"",SUM($T21:$V21))</f>
        <v/>
      </c>
      <c r="X21" s="352">
        <f>IFERROR(IF(W21="","",ROUND((($T21/$T$11)*30 + ($U21/$U$11)*30 + ($V21/$V$11)*40),2)),"")</f>
        <v/>
      </c>
      <c r="Y21" s="54">
        <f>IFERROR(IF(X21="","",ROUND(X21*$Y$11,2)),"")</f>
        <v/>
      </c>
      <c r="Z21" s="55">
        <f>IFERROR(M21+S21+Y21,"")</f>
        <v/>
      </c>
      <c r="AA21" s="274">
        <f>IFERROR(VLOOKUP(Z21,'Helper(IMPORTANT!)'!$CQ$1:$CR$41,2,TRUE),"")</f>
        <v/>
      </c>
      <c r="AB21" s="170">
        <f t="array" ref="AB21">IF(AA21="", "", _xlfn.IFS(AA21&gt;=90, "A", AA21&gt;=80, "B", AA21&gt;=75, "C", AA21&gt;=65, "D", AA21&gt;=0, "E"))</f>
        <v/>
      </c>
      <c r="AD21" s="39" t="n"/>
      <c r="AF21" s="451" t="n"/>
      <c r="AG21" s="649" t="n"/>
      <c r="AH21" s="649" t="n"/>
      <c r="AI21" s="649" t="n"/>
    </row>
    <row r="22" ht="18" customHeight="1">
      <c r="A22" s="169" t="n">
        <v>10</v>
      </c>
      <c r="B22" s="442">
        <f>'INPUT DATA'!L20</f>
        <v/>
      </c>
      <c r="C22" s="673" t="n"/>
      <c r="D22" s="673" t="n"/>
      <c r="E22" s="674" t="n"/>
      <c r="F22" s="52" t="n"/>
      <c r="G22" s="49" t="n"/>
      <c r="H22" s="49" t="n"/>
      <c r="I22" s="49" t="n"/>
      <c r="J22" s="49" t="n"/>
      <c r="K22" s="48">
        <f>IF(COUNT($F22:$J22)=0,"",SUM($F22:$J22))</f>
        <v/>
      </c>
      <c r="L22" s="47">
        <f>IFERROR(IF(K22="","",ROUND(K22/$K$11*100,2)),"")</f>
        <v/>
      </c>
      <c r="M22" s="54">
        <f>IFERROR(IF(L22="","",ROUND(L22*$M$11,2)),"")</f>
        <v/>
      </c>
      <c r="N22" s="52" t="n"/>
      <c r="O22" s="49" t="n"/>
      <c r="P22" s="49" t="n"/>
      <c r="Q22" s="48">
        <f>IF(COUNT($N22:$P22)=0,"",SUM($N22:$P22))</f>
        <v/>
      </c>
      <c r="R22" s="47">
        <f>IFERROR(IF(Q22="","",ROUND(Q22/$Q$11*100,2)),"")</f>
        <v/>
      </c>
      <c r="S22" s="54">
        <f>IFERROR(IF(R22="","",ROUND(R22*$S$11,2)),"")</f>
        <v/>
      </c>
      <c r="T22" s="265" t="n">
        <v>28</v>
      </c>
      <c r="U22" s="46" t="n"/>
      <c r="V22" s="268" t="n"/>
      <c r="W22" s="272">
        <f>IF(COUNT($T22:$V22)=0,"",SUM($T22:$V22))</f>
        <v/>
      </c>
      <c r="X22" s="352">
        <f>IFERROR(IF(W22="","",ROUND((($T22/$T$11)*30 + ($U22/$U$11)*30 + ($V22/$V$11)*40),2)),"")</f>
        <v/>
      </c>
      <c r="Y22" s="54">
        <f>IFERROR(IF(X22="","",ROUND(X22*$Y$11,2)),"")</f>
        <v/>
      </c>
      <c r="Z22" s="55">
        <f>IFERROR(M22+S22+Y22,"")</f>
        <v/>
      </c>
      <c r="AA22" s="274">
        <f>IFERROR(VLOOKUP(Z22,'Helper(IMPORTANT!)'!$CQ$1:$CR$41,2,TRUE),"")</f>
        <v/>
      </c>
      <c r="AB22" s="170">
        <f t="array" ref="AB22">IF(AA22="", "", _xlfn.IFS(AA22&gt;=90, "A", AA22&gt;=80, "B", AA22&gt;=75, "C", AA22&gt;=65, "D", AA22&gt;=0, "E"))</f>
        <v/>
      </c>
      <c r="AD22" s="39" t="n"/>
      <c r="AF22" s="451" t="n"/>
      <c r="AG22" s="649" t="n"/>
      <c r="AH22" s="649" t="n"/>
      <c r="AI22" s="649" t="n"/>
    </row>
    <row r="23" ht="18" customHeight="1">
      <c r="A23" s="169" t="n">
        <v>11</v>
      </c>
      <c r="B23" s="442">
        <f>'INPUT DATA'!L21</f>
        <v/>
      </c>
      <c r="C23" s="673" t="n"/>
      <c r="D23" s="673" t="n"/>
      <c r="E23" s="674" t="n"/>
      <c r="F23" s="52" t="n"/>
      <c r="G23" s="49" t="n"/>
      <c r="H23" s="49" t="n"/>
      <c r="I23" s="49" t="n"/>
      <c r="J23" s="49" t="n"/>
      <c r="K23" s="48">
        <f>IF(COUNT($F23:$J23)=0,"",SUM($F23:$J23))</f>
        <v/>
      </c>
      <c r="L23" s="47">
        <f>IFERROR(IF(K23="","",ROUND(K23/$K$11*100,2)),"")</f>
        <v/>
      </c>
      <c r="M23" s="54">
        <f>IFERROR(IF(L23="","",ROUND(L23*$M$11,2)),"")</f>
        <v/>
      </c>
      <c r="N23" s="52" t="n"/>
      <c r="O23" s="49" t="n"/>
      <c r="P23" s="49" t="n"/>
      <c r="Q23" s="48">
        <f>IF(COUNT($N23:$P23)=0,"",SUM($N23:$P23))</f>
        <v/>
      </c>
      <c r="R23" s="47">
        <f>IFERROR(IF(Q23="","",ROUND(Q23/$Q$11*100,2)),"")</f>
        <v/>
      </c>
      <c r="S23" s="54">
        <f>IFERROR(IF(R23="","",ROUND(R23*$S$11,2)),"")</f>
        <v/>
      </c>
      <c r="T23" s="265" t="n">
        <v>27</v>
      </c>
      <c r="U23" s="46" t="n"/>
      <c r="V23" s="268" t="n"/>
      <c r="W23" s="272">
        <f>IF(COUNT($T23:$V23)=0,"",SUM($T23:$V23))</f>
        <v/>
      </c>
      <c r="X23" s="352">
        <f>IFERROR(IF(W23="","",ROUND((($T23/$T$11)*30 + ($U23/$U$11)*30 + ($V23/$V$11)*40),2)),"")</f>
        <v/>
      </c>
      <c r="Y23" s="54">
        <f>IFERROR(IF(X23="","",ROUND(X23*$Y$11,2)),"")</f>
        <v/>
      </c>
      <c r="Z23" s="55">
        <f>IFERROR(M23+S23+Y23,"")</f>
        <v/>
      </c>
      <c r="AA23" s="274">
        <f>IFERROR(VLOOKUP(Z23,'Helper(IMPORTANT!)'!$CQ$1:$CR$41,2,TRUE),"")</f>
        <v/>
      </c>
      <c r="AB23" s="170">
        <f t="array" ref="AB23">IF(AA23="", "", _xlfn.IFS(AA23&gt;=90, "A", AA23&gt;=80, "B", AA23&gt;=75, "C", AA23&gt;=65, "D", AA23&gt;=0, "E"))</f>
        <v/>
      </c>
      <c r="AD23" s="39" t="n"/>
      <c r="AF23" s="450" t="n"/>
      <c r="AG23" s="649" t="n"/>
      <c r="AH23" s="649" t="n"/>
      <c r="AI23" s="649" t="n"/>
    </row>
    <row r="24" ht="18" customHeight="1">
      <c r="A24" s="169" t="n">
        <v>12</v>
      </c>
      <c r="B24" s="442">
        <f>'INPUT DATA'!L22</f>
        <v/>
      </c>
      <c r="C24" s="673" t="n"/>
      <c r="D24" s="673" t="n"/>
      <c r="E24" s="674" t="n"/>
      <c r="F24" s="52" t="n"/>
      <c r="G24" s="49" t="n"/>
      <c r="H24" s="49" t="n"/>
      <c r="I24" s="49" t="n"/>
      <c r="J24" s="49" t="n"/>
      <c r="K24" s="48">
        <f>IF(COUNT($F24:$J24)=0,"",SUM($F24:$J24))</f>
        <v/>
      </c>
      <c r="L24" s="47">
        <f>IFERROR(IF(K24="","",ROUND(K24/$K$11*100,2)),"")</f>
        <v/>
      </c>
      <c r="M24" s="54">
        <f>IFERROR(IF(L24="","",ROUND(L24*$M$11,2)),"")</f>
        <v/>
      </c>
      <c r="N24" s="52" t="n"/>
      <c r="O24" s="49" t="n"/>
      <c r="P24" s="49" t="n"/>
      <c r="Q24" s="48">
        <f>IF(COUNT($N24:$P24)=0,"",SUM($N24:$P24))</f>
        <v/>
      </c>
      <c r="R24" s="47">
        <f>IFERROR(IF(Q24="","",ROUND(Q24/$Q$11*100,2)),"")</f>
        <v/>
      </c>
      <c r="S24" s="54">
        <f>IFERROR(IF(R24="","",ROUND(R24*$S$11,2)),"")</f>
        <v/>
      </c>
      <c r="T24" s="265" t="n">
        <v>35</v>
      </c>
      <c r="U24" s="46" t="n"/>
      <c r="V24" s="268" t="n"/>
      <c r="W24" s="272">
        <f>IF(COUNT($T24:$V24)=0,"",SUM($T24:$V24))</f>
        <v/>
      </c>
      <c r="X24" s="352">
        <f>IFERROR(IF(W24="","",ROUND((($T24/$T$11)*30 + ($U24/$U$11)*30 + ($V24/$V$11)*40),2)),"")</f>
        <v/>
      </c>
      <c r="Y24" s="54">
        <f>IFERROR(IF(X24="","",ROUND(X24*$Y$11,2)),"")</f>
        <v/>
      </c>
      <c r="Z24" s="55">
        <f>IFERROR(M24+S24+Y24,"")</f>
        <v/>
      </c>
      <c r="AA24" s="274">
        <f>IFERROR(VLOOKUP(Z24,'Helper(IMPORTANT!)'!$CQ$1:$CR$41,2,TRUE),"")</f>
        <v/>
      </c>
      <c r="AB24" s="170">
        <f t="array" ref="AB24">IF(AA24="", "", _xlfn.IFS(AA24&gt;=90, "A", AA24&gt;=80, "B", AA24&gt;=75, "C", AA24&gt;=65, "D", AA24&gt;=0, "E"))</f>
        <v/>
      </c>
      <c r="AD24" s="39" t="n"/>
      <c r="AF24" s="449" t="n"/>
      <c r="AG24" s="649" t="n"/>
      <c r="AH24" s="649" t="n"/>
      <c r="AI24" s="649" t="n"/>
    </row>
    <row r="25" ht="18" customHeight="1">
      <c r="A25" s="169" t="n">
        <v>13</v>
      </c>
      <c r="B25" s="442">
        <f>'INPUT DATA'!L23</f>
        <v/>
      </c>
      <c r="C25" s="673" t="n"/>
      <c r="D25" s="673" t="n"/>
      <c r="E25" s="674" t="n"/>
      <c r="F25" s="52" t="n"/>
      <c r="G25" s="49" t="n"/>
      <c r="H25" s="49" t="n"/>
      <c r="I25" s="49" t="n"/>
      <c r="J25" s="49" t="n"/>
      <c r="K25" s="48">
        <f>IF(COUNT($F25:$J25)=0,"",SUM($F25:$J25))</f>
        <v/>
      </c>
      <c r="L25" s="47">
        <f>IFERROR(IF(K25="","",ROUND(K25/$K$11*100,2)),"")</f>
        <v/>
      </c>
      <c r="M25" s="54">
        <f>IFERROR(IF(L25="","",ROUND(L25*$M$11,2)),"")</f>
        <v/>
      </c>
      <c r="N25" s="52" t="n"/>
      <c r="O25" s="49" t="n"/>
      <c r="P25" s="49" t="n"/>
      <c r="Q25" s="48">
        <f>IF(COUNT($N25:$P25)=0,"",SUM($N25:$P25))</f>
        <v/>
      </c>
      <c r="R25" s="47">
        <f>IFERROR(IF(Q25="","",ROUND(Q25/$Q$11*100,2)),"")</f>
        <v/>
      </c>
      <c r="S25" s="54">
        <f>IFERROR(IF(R25="","",ROUND(R25*$S$11,2)),"")</f>
        <v/>
      </c>
      <c r="T25" s="265" t="n">
        <v>37</v>
      </c>
      <c r="U25" s="46" t="n"/>
      <c r="V25" s="268" t="n"/>
      <c r="W25" s="272">
        <f>IF(COUNT($T25:$V25)=0,"",SUM($T25:$V25))</f>
        <v/>
      </c>
      <c r="X25" s="352">
        <f>IFERROR(IF(W25="","",ROUND((($T25/$T$11)*30 + ($U25/$U$11)*30 + ($V25/$V$11)*40),2)),"")</f>
        <v/>
      </c>
      <c r="Y25" s="54">
        <f>IFERROR(IF(X25="","",ROUND(X25*$Y$11,2)),"")</f>
        <v/>
      </c>
      <c r="Z25" s="55">
        <f>IFERROR(M25+S25+Y25,"")</f>
        <v/>
      </c>
      <c r="AA25" s="274">
        <f>IFERROR(VLOOKUP(Z25,'Helper(IMPORTANT!)'!$CQ$1:$CR$41,2,TRUE),"")</f>
        <v/>
      </c>
      <c r="AB25" s="170">
        <f t="array" ref="AB25">IF(AA25="", "", _xlfn.IFS(AA25&gt;=90, "A", AA25&gt;=80, "B", AA25&gt;=75, "C", AA25&gt;=65, "D", AA25&gt;=0, "E"))</f>
        <v/>
      </c>
      <c r="AD25" s="39" t="n"/>
      <c r="AF25" s="449" t="n"/>
      <c r="AG25" s="649" t="n"/>
      <c r="AH25" s="649" t="n"/>
      <c r="AI25" s="649" t="n"/>
    </row>
    <row r="26" ht="18" customHeight="1">
      <c r="A26" s="169" t="n">
        <v>14</v>
      </c>
      <c r="B26" s="442">
        <f>'INPUT DATA'!L24</f>
        <v/>
      </c>
      <c r="C26" s="673" t="n"/>
      <c r="D26" s="673" t="n"/>
      <c r="E26" s="674" t="n"/>
      <c r="F26" s="52" t="n"/>
      <c r="G26" s="49" t="n"/>
      <c r="H26" s="49" t="n"/>
      <c r="I26" s="49" t="n"/>
      <c r="J26" s="49" t="n"/>
      <c r="K26" s="48">
        <f>IF(COUNT($F26:$J26)=0,"",SUM($F26:$J26))</f>
        <v/>
      </c>
      <c r="L26" s="47">
        <f>IFERROR(IF(K26="","",ROUND(K26/$K$11*100,2)),"")</f>
        <v/>
      </c>
      <c r="M26" s="54">
        <f>IFERROR(IF(L26="","",ROUND(L26*$M$11,2)),"")</f>
        <v/>
      </c>
      <c r="N26" s="52" t="n"/>
      <c r="O26" s="49" t="n"/>
      <c r="P26" s="49" t="n"/>
      <c r="Q26" s="48">
        <f>IF(COUNT($N26:$P26)=0,"",SUM($N26:$P26))</f>
        <v/>
      </c>
      <c r="R26" s="47">
        <f>IFERROR(IF(Q26="","",ROUND(Q26/$Q$11*100,2)),"")</f>
        <v/>
      </c>
      <c r="S26" s="54">
        <f>IFERROR(IF(R26="","",ROUND(R26*$S$11,2)),"")</f>
        <v/>
      </c>
      <c r="T26" s="265" t="n">
        <v>34</v>
      </c>
      <c r="U26" s="46" t="n"/>
      <c r="V26" s="268" t="n"/>
      <c r="W26" s="272">
        <f>IF(COUNT($T26:$V26)=0,"",SUM($T26:$V26))</f>
        <v/>
      </c>
      <c r="X26" s="352">
        <f>IFERROR(IF(W26="","",ROUND((($T26/$T$11)*30 + ($U26/$U$11)*30 + ($V26/$V$11)*40),2)),"")</f>
        <v/>
      </c>
      <c r="Y26" s="54">
        <f>IFERROR(IF(X26="","",ROUND(X26*$Y$11,2)),"")</f>
        <v/>
      </c>
      <c r="Z26" s="55">
        <f>IFERROR(M26+S26+Y26,"")</f>
        <v/>
      </c>
      <c r="AA26" s="274">
        <f>IFERROR(VLOOKUP(Z26,'Helper(IMPORTANT!)'!$CQ$1:$CR$41,2,TRUE),"")</f>
        <v/>
      </c>
      <c r="AB26" s="170">
        <f t="array" ref="AB26">IF(AA26="", "", _xlfn.IFS(AA26&gt;=90, "A", AA26&gt;=80, "B", AA26&gt;=75, "C", AA26&gt;=65, "D", AA26&gt;=0, "E"))</f>
        <v/>
      </c>
      <c r="AD26" s="39" t="n"/>
      <c r="AF26" s="449" t="n"/>
      <c r="AG26" s="649" t="n"/>
      <c r="AH26" s="649" t="n"/>
      <c r="AI26" s="649" t="n"/>
    </row>
    <row r="27" ht="18" customHeight="1">
      <c r="A27" s="169" t="n">
        <v>15</v>
      </c>
      <c r="B27" s="442">
        <f>'INPUT DATA'!L25</f>
        <v/>
      </c>
      <c r="C27" s="673" t="n"/>
      <c r="D27" s="673" t="n"/>
      <c r="E27" s="674" t="n"/>
      <c r="F27" s="52" t="n"/>
      <c r="G27" s="49" t="n"/>
      <c r="H27" s="49" t="n"/>
      <c r="I27" s="49" t="n"/>
      <c r="J27" s="49" t="n"/>
      <c r="K27" s="48">
        <f>IF(COUNT($F27:$J27)=0,"",SUM($F27:$J27))</f>
        <v/>
      </c>
      <c r="L27" s="47">
        <f>IFERROR(IF(K27="","",ROUND(K27/$K$11*100,2)),"")</f>
        <v/>
      </c>
      <c r="M27" s="54">
        <f>IFERROR(IF(L27="","",ROUND(L27*$M$11,2)),"")</f>
        <v/>
      </c>
      <c r="N27" s="52" t="n"/>
      <c r="O27" s="49" t="n"/>
      <c r="P27" s="49" t="n"/>
      <c r="Q27" s="48">
        <f>IF(COUNT($N27:$P27)=0,"",SUM($N27:$P27))</f>
        <v/>
      </c>
      <c r="R27" s="47">
        <f>IFERROR(IF(Q27="","",ROUND(Q27/$Q$11*100,2)),"")</f>
        <v/>
      </c>
      <c r="S27" s="54">
        <f>IFERROR(IF(R27="","",ROUND(R27*$S$11,2)),"")</f>
        <v/>
      </c>
      <c r="T27" s="265" t="n">
        <v>30</v>
      </c>
      <c r="U27" s="46" t="n"/>
      <c r="V27" s="268" t="n"/>
      <c r="W27" s="272">
        <f>IF(COUNT($T27:$V27)=0,"",SUM($T27:$V27))</f>
        <v/>
      </c>
      <c r="X27" s="352">
        <f>IFERROR(IF(W27="","",ROUND((($T27/$T$11)*30 + ($U27/$U$11)*30 + ($V27/$V$11)*40),2)),"")</f>
        <v/>
      </c>
      <c r="Y27" s="54">
        <f>IFERROR(IF(X27="","",ROUND(X27*$Y$11,2)),"")</f>
        <v/>
      </c>
      <c r="Z27" s="55">
        <f>IFERROR(M27+S27+Y27,"")</f>
        <v/>
      </c>
      <c r="AA27" s="274">
        <f>IFERROR(VLOOKUP(Z27,'Helper(IMPORTANT!)'!$CQ$1:$CR$41,2,TRUE),"")</f>
        <v/>
      </c>
      <c r="AB27" s="170">
        <f t="array" ref="AB27">IF(AA27="", "", _xlfn.IFS(AA27&gt;=90, "A", AA27&gt;=80, "B", AA27&gt;=75, "C", AA27&gt;=65, "D", AA27&gt;=0, "E"))</f>
        <v/>
      </c>
      <c r="AD27" s="39" t="n"/>
    </row>
    <row r="28" ht="18" customHeight="1">
      <c r="A28" s="169" t="n">
        <v>16</v>
      </c>
      <c r="B28" s="442">
        <f>'INPUT DATA'!L26</f>
        <v/>
      </c>
      <c r="C28" s="673" t="n"/>
      <c r="D28" s="673" t="n"/>
      <c r="E28" s="674" t="n"/>
      <c r="F28" s="52" t="n"/>
      <c r="G28" s="49" t="n"/>
      <c r="H28" s="49" t="n"/>
      <c r="I28" s="49" t="n"/>
      <c r="J28" s="49" t="n"/>
      <c r="K28" s="48">
        <f>IF(COUNT($F28:$J28)=0,"",SUM($F28:$J28))</f>
        <v/>
      </c>
      <c r="L28" s="47">
        <f>IFERROR(IF(K28="","",ROUND(K28/$K$11*100,2)),"")</f>
        <v/>
      </c>
      <c r="M28" s="54">
        <f>IFERROR(IF(L28="","",ROUND(L28*$M$11,2)),"")</f>
        <v/>
      </c>
      <c r="N28" s="52" t="n"/>
      <c r="O28" s="49" t="n"/>
      <c r="P28" s="49" t="n"/>
      <c r="Q28" s="48">
        <f>IF(COUNT($N28:$P28)=0,"",SUM($N28:$P28))</f>
        <v/>
      </c>
      <c r="R28" s="47">
        <f>IFERROR(IF(Q28="","",ROUND(Q28/$Q$11*100,2)),"")</f>
        <v/>
      </c>
      <c r="S28" s="54">
        <f>IFERROR(IF(R28="","",ROUND(R28*$S$11,2)),"")</f>
        <v/>
      </c>
      <c r="T28" s="265" t="n">
        <v>42</v>
      </c>
      <c r="U28" s="46" t="n"/>
      <c r="V28" s="268" t="n"/>
      <c r="W28" s="272">
        <f>IF(COUNT($T28:$V28)=0,"",SUM($T28:$V28))</f>
        <v/>
      </c>
      <c r="X28" s="352">
        <f>IFERROR(IF(W28="","",ROUND((($T28/$T$11)*30 + ($U28/$U$11)*30 + ($V28/$V$11)*40),2)),"")</f>
        <v/>
      </c>
      <c r="Y28" s="54">
        <f>IFERROR(IF(X28="","",ROUND(X28*$Y$11,2)),"")</f>
        <v/>
      </c>
      <c r="Z28" s="55">
        <f>IFERROR(M28+S28+Y28,"")</f>
        <v/>
      </c>
      <c r="AA28" s="274">
        <f>IFERROR(VLOOKUP(Z28,'Helper(IMPORTANT!)'!$CQ$1:$CR$41,2,TRUE),"")</f>
        <v/>
      </c>
      <c r="AB28" s="170">
        <f t="array" ref="AB28">IF(AA28="", "", _xlfn.IFS(AA28&gt;=90, "A", AA28&gt;=80, "B", AA28&gt;=75, "C", AA28&gt;=65, "D", AA28&gt;=0, "E"))</f>
        <v/>
      </c>
      <c r="AD28" s="39" t="n"/>
    </row>
    <row r="29" ht="18" customHeight="1">
      <c r="A29" s="169" t="n">
        <v>17</v>
      </c>
      <c r="B29" s="442">
        <f>'INPUT DATA'!L27</f>
        <v/>
      </c>
      <c r="C29" s="673" t="n"/>
      <c r="D29" s="673" t="n"/>
      <c r="E29" s="674" t="n"/>
      <c r="F29" s="52" t="n"/>
      <c r="G29" s="49" t="n"/>
      <c r="H29" s="49" t="n"/>
      <c r="I29" s="49" t="n"/>
      <c r="J29" s="49" t="n"/>
      <c r="K29" s="48">
        <f>IF(COUNT($F29:$J29)=0,"",SUM($F29:$J29))</f>
        <v/>
      </c>
      <c r="L29" s="47">
        <f>IFERROR(IF(K29="","",ROUND(K29/$K$11*100,2)),"")</f>
        <v/>
      </c>
      <c r="M29" s="54">
        <f>IFERROR(IF(L29="","",ROUND(L29*$M$11,2)),"")</f>
        <v/>
      </c>
      <c r="N29" s="52" t="n"/>
      <c r="O29" s="49" t="n"/>
      <c r="P29" s="49" t="n"/>
      <c r="Q29" s="48">
        <f>IF(COUNT($N29:$P29)=0,"",SUM($N29:$P29))</f>
        <v/>
      </c>
      <c r="R29" s="47">
        <f>IFERROR(IF(Q29="","",ROUND(Q29/$Q$11*100,2)),"")</f>
        <v/>
      </c>
      <c r="S29" s="54">
        <f>IFERROR(IF(R29="","",ROUND(R29*$S$11,2)),"")</f>
        <v/>
      </c>
      <c r="T29" s="265" t="n">
        <v>43</v>
      </c>
      <c r="U29" s="46" t="n"/>
      <c r="V29" s="268" t="n"/>
      <c r="W29" s="272">
        <f>IF(COUNT($T29:$V29)=0,"",SUM($T29:$V29))</f>
        <v/>
      </c>
      <c r="X29" s="352">
        <f>IFERROR(IF(W29="","",ROUND((($T29/$T$11)*30 + ($U29/$U$11)*30 + ($V29/$V$11)*40),2)),"")</f>
        <v/>
      </c>
      <c r="Y29" s="54">
        <f>IFERROR(IF(X29="","",ROUND(X29*$Y$11,2)),"")</f>
        <v/>
      </c>
      <c r="Z29" s="55">
        <f>IFERROR(M29+S29+Y29,"")</f>
        <v/>
      </c>
      <c r="AA29" s="274">
        <f>IFERROR(VLOOKUP(Z29,'Helper(IMPORTANT!)'!$CQ$1:$CR$41,2,TRUE),"")</f>
        <v/>
      </c>
      <c r="AB29" s="170">
        <f t="array" ref="AB29">IF(AA29="", "", _xlfn.IFS(AA29&gt;=90, "A", AA29&gt;=80, "B", AA29&gt;=75, "C", AA29&gt;=65, "D", AA29&gt;=0, "E"))</f>
        <v/>
      </c>
      <c r="AD29" s="39" t="n"/>
    </row>
    <row r="30" ht="18" customHeight="1">
      <c r="A30" s="169" t="n">
        <v>18</v>
      </c>
      <c r="B30" s="442">
        <f>'INPUT DATA'!L28</f>
        <v/>
      </c>
      <c r="C30" s="673" t="n"/>
      <c r="D30" s="673" t="n"/>
      <c r="E30" s="674" t="n"/>
      <c r="F30" s="52" t="n"/>
      <c r="G30" s="49" t="n"/>
      <c r="H30" s="49" t="n"/>
      <c r="I30" s="49" t="n"/>
      <c r="J30" s="49" t="n"/>
      <c r="K30" s="48">
        <f>IF(COUNT($F30:$J30)=0,"",SUM($F30:$J30))</f>
        <v/>
      </c>
      <c r="L30" s="47">
        <f>IFERROR(IF(K30="","",ROUND(K30/$K$11*100,2)),"")</f>
        <v/>
      </c>
      <c r="M30" s="54">
        <f>IFERROR(IF(L30="","",ROUND(L30*$M$11,2)),"")</f>
        <v/>
      </c>
      <c r="N30" s="52" t="n"/>
      <c r="O30" s="49" t="n"/>
      <c r="P30" s="49" t="n"/>
      <c r="Q30" s="48">
        <f>IF(COUNT($N30:$P30)=0,"",SUM($N30:$P30))</f>
        <v/>
      </c>
      <c r="R30" s="47">
        <f>IFERROR(IF(Q30="","",ROUND(Q30/$Q$11*100,2)),"")</f>
        <v/>
      </c>
      <c r="S30" s="54">
        <f>IFERROR(IF(R30="","",ROUND(R30*$S$11,2)),"")</f>
        <v/>
      </c>
      <c r="T30" s="265" t="n">
        <v>36</v>
      </c>
      <c r="U30" s="46" t="n"/>
      <c r="V30" s="268" t="n"/>
      <c r="W30" s="272">
        <f>IF(COUNT($T30:$V30)=0,"",SUM($T30:$V30))</f>
        <v/>
      </c>
      <c r="X30" s="352">
        <f>IFERROR(IF(W30="","",ROUND((($T30/$T$11)*30 + ($U30/$U$11)*30 + ($V30/$V$11)*40),2)),"")</f>
        <v/>
      </c>
      <c r="Y30" s="54">
        <f>IFERROR(IF(X30="","",ROUND(X30*$Y$11,2)),"")</f>
        <v/>
      </c>
      <c r="Z30" s="55">
        <f>IFERROR(M30+S30+Y30,"")</f>
        <v/>
      </c>
      <c r="AA30" s="274">
        <f>IFERROR(VLOOKUP(Z30,'Helper(IMPORTANT!)'!$CQ$1:$CR$41,2,TRUE),"")</f>
        <v/>
      </c>
      <c r="AB30" s="170">
        <f t="array" ref="AB30">IF(AA30="", "", _xlfn.IFS(AA30&gt;=90, "A", AA30&gt;=80, "B", AA30&gt;=75, "C", AA30&gt;=65, "D", AA30&gt;=0, "E"))</f>
        <v/>
      </c>
      <c r="AD30" s="39" t="n"/>
    </row>
    <row r="31" ht="18" customHeight="1">
      <c r="A31" s="169" t="n">
        <v>19</v>
      </c>
      <c r="B31" s="442">
        <f>'INPUT DATA'!L29</f>
        <v/>
      </c>
      <c r="C31" s="673" t="n"/>
      <c r="D31" s="673" t="n"/>
      <c r="E31" s="674" t="n"/>
      <c r="F31" s="52" t="n"/>
      <c r="G31" s="49" t="n"/>
      <c r="H31" s="49" t="n"/>
      <c r="I31" s="49" t="n"/>
      <c r="J31" s="49" t="n"/>
      <c r="K31" s="48">
        <f>IF(COUNT($F31:$J31)=0,"",SUM($F31:$J31))</f>
        <v/>
      </c>
      <c r="L31" s="47">
        <f>IFERROR(IF(K31="","",ROUND(K31/$K$11*100,2)),"")</f>
        <v/>
      </c>
      <c r="M31" s="54">
        <f>IFERROR(IF(L31="","",ROUND(L31*$M$11,2)),"")</f>
        <v/>
      </c>
      <c r="N31" s="52" t="n"/>
      <c r="O31" s="49" t="n"/>
      <c r="P31" s="49" t="n"/>
      <c r="Q31" s="48">
        <f>IF(COUNT($N31:$P31)=0,"",SUM($N31:$P31))</f>
        <v/>
      </c>
      <c r="R31" s="47">
        <f>IFERROR(IF(Q31="","",ROUND(Q31/$Q$11*100,2)),"")</f>
        <v/>
      </c>
      <c r="S31" s="54">
        <f>IFERROR(IF(R31="","",ROUND(R31*$S$11,2)),"")</f>
        <v/>
      </c>
      <c r="T31" s="265" t="n">
        <v>38</v>
      </c>
      <c r="U31" s="46" t="n"/>
      <c r="V31" s="268" t="n"/>
      <c r="W31" s="272">
        <f>IF(COUNT($T31:$V31)=0,"",SUM($T31:$V31))</f>
        <v/>
      </c>
      <c r="X31" s="352">
        <f>IFERROR(IF(W31="","",ROUND((($T31/$T$11)*30 + ($U31/$U$11)*30 + ($V31/$V$11)*40),2)),"")</f>
        <v/>
      </c>
      <c r="Y31" s="54">
        <f>IFERROR(IF(X31="","",ROUND(X31*$Y$11,2)),"")</f>
        <v/>
      </c>
      <c r="Z31" s="55">
        <f>IFERROR(M31+S31+Y31,"")</f>
        <v/>
      </c>
      <c r="AA31" s="274">
        <f>IFERROR(VLOOKUP(Z31,'Helper(IMPORTANT!)'!$CQ$1:$CR$41,2,TRUE),"")</f>
        <v/>
      </c>
      <c r="AB31" s="170">
        <f t="array" ref="AB31">IF(AA31="", "", _xlfn.IFS(AA31&gt;=90, "A", AA31&gt;=80, "B", AA31&gt;=75, "C", AA31&gt;=65, "D", AA31&gt;=0, "E"))</f>
        <v/>
      </c>
      <c r="AD31" s="39" t="n"/>
    </row>
    <row r="32" ht="18" customHeight="1">
      <c r="A32" s="169" t="n">
        <v>20</v>
      </c>
      <c r="B32" s="442">
        <f>'INPUT DATA'!L30</f>
        <v/>
      </c>
      <c r="C32" s="673" t="n"/>
      <c r="D32" s="673" t="n"/>
      <c r="E32" s="674" t="n"/>
      <c r="F32" s="52" t="n"/>
      <c r="G32" s="49" t="n"/>
      <c r="H32" s="49" t="n"/>
      <c r="I32" s="49" t="n"/>
      <c r="J32" s="49" t="n"/>
      <c r="K32" s="48">
        <f>IF(COUNT($F32:$J32)=0,"",SUM($F32:$J32))</f>
        <v/>
      </c>
      <c r="L32" s="47">
        <f>IFERROR(IF(K32="","",ROUND(K32/$K$11*100,2)),"")</f>
        <v/>
      </c>
      <c r="M32" s="54">
        <f>IFERROR(IF(L32="","",ROUND(L32*$M$11,2)),"")</f>
        <v/>
      </c>
      <c r="N32" s="52" t="n"/>
      <c r="O32" s="49" t="n"/>
      <c r="P32" s="49" t="n"/>
      <c r="Q32" s="48">
        <f>IF(COUNT($N32:$P32)=0,"",SUM($N32:$P32))</f>
        <v/>
      </c>
      <c r="R32" s="47">
        <f>IFERROR(IF(Q32="","",ROUND(Q32/$Q$11*100,2)),"")</f>
        <v/>
      </c>
      <c r="S32" s="54">
        <f>IFERROR(IF(R32="","",ROUND(R32*$S$11,2)),"")</f>
        <v/>
      </c>
      <c r="T32" s="265" t="n">
        <v>35</v>
      </c>
      <c r="U32" s="46" t="n"/>
      <c r="V32" s="268" t="n"/>
      <c r="W32" s="272">
        <f>IF(COUNT($T32:$V32)=0,"",SUM($T32:$V32))</f>
        <v/>
      </c>
      <c r="X32" s="352">
        <f>IFERROR(IF(W32="","",ROUND((($T32/$T$11)*30 + ($U32/$U$11)*30 + ($V32/$V$11)*40),2)),"")</f>
        <v/>
      </c>
      <c r="Y32" s="54">
        <f>IFERROR(IF(X32="","",ROUND(X32*$Y$11,2)),"")</f>
        <v/>
      </c>
      <c r="Z32" s="55">
        <f>IFERROR(M32+S32+Y32,"")</f>
        <v/>
      </c>
      <c r="AA32" s="274">
        <f>IFERROR(VLOOKUP(Z32,'Helper(IMPORTANT!)'!$CQ$1:$CR$41,2,TRUE),"")</f>
        <v/>
      </c>
      <c r="AB32" s="170">
        <f t="array" ref="AB32">IF(AA32="", "", _xlfn.IFS(AA32&gt;=90, "A", AA32&gt;=80, "B", AA32&gt;=75, "C", AA32&gt;=65, "D", AA32&gt;=0, "E"))</f>
        <v/>
      </c>
      <c r="AD32" s="39" t="n"/>
    </row>
    <row r="33" ht="18" customHeight="1">
      <c r="A33" s="169" t="n">
        <v>21</v>
      </c>
      <c r="B33" s="442">
        <f>'INPUT DATA'!L31</f>
        <v/>
      </c>
      <c r="C33" s="673" t="n"/>
      <c r="D33" s="673" t="n"/>
      <c r="E33" s="674" t="n"/>
      <c r="F33" s="52" t="n"/>
      <c r="G33" s="49" t="n"/>
      <c r="H33" s="49" t="n"/>
      <c r="I33" s="49" t="n"/>
      <c r="J33" s="49" t="n"/>
      <c r="K33" s="48">
        <f>IF(COUNT($F33:$J33)=0,"",SUM($F33:$J33))</f>
        <v/>
      </c>
      <c r="L33" s="47">
        <f>IFERROR(IF(K33="","",ROUND(K33/$K$11*100,2)),"")</f>
        <v/>
      </c>
      <c r="M33" s="54">
        <f>IFERROR(IF(L33="","",ROUND(L33*$M$11,2)),"")</f>
        <v/>
      </c>
      <c r="N33" s="52" t="n"/>
      <c r="O33" s="49" t="n"/>
      <c r="P33" s="49" t="n"/>
      <c r="Q33" s="48">
        <f>IF(COUNT($N33:$P33)=0,"",SUM($N33:$P33))</f>
        <v/>
      </c>
      <c r="R33" s="47">
        <f>IFERROR(IF(Q33="","",ROUND(Q33/$Q$11*100,2)),"")</f>
        <v/>
      </c>
      <c r="S33" s="54">
        <f>IFERROR(IF(R33="","",ROUND(R33*$S$11,2)),"")</f>
        <v/>
      </c>
      <c r="T33" s="265" t="n">
        <v>47</v>
      </c>
      <c r="U33" s="46" t="n"/>
      <c r="V33" s="268" t="n"/>
      <c r="W33" s="272">
        <f>IF(COUNT($T33:$V33)=0,"",SUM($T33:$V33))</f>
        <v/>
      </c>
      <c r="X33" s="352">
        <f>IFERROR(IF(W33="","",ROUND((($T33/$T$11)*30 + ($U33/$U$11)*30 + ($V33/$V$11)*40),2)),"")</f>
        <v/>
      </c>
      <c r="Y33" s="54">
        <f>IFERROR(IF(X33="","",ROUND(X33*$Y$11,2)),"")</f>
        <v/>
      </c>
      <c r="Z33" s="55">
        <f>IFERROR(M33+S33+Y33,"")</f>
        <v/>
      </c>
      <c r="AA33" s="274">
        <f>IFERROR(VLOOKUP(Z33,'Helper(IMPORTANT!)'!$CQ$1:$CR$41,2,TRUE),"")</f>
        <v/>
      </c>
      <c r="AB33" s="170">
        <f t="array" ref="AB33">IF(AA33="", "", _xlfn.IFS(AA33&gt;=90, "A", AA33&gt;=80, "B", AA33&gt;=75, "C", AA33&gt;=65, "D", AA33&gt;=0, "E"))</f>
        <v/>
      </c>
      <c r="AD33" s="39" t="n"/>
    </row>
    <row r="34" ht="18" customHeight="1">
      <c r="A34" s="169" t="n">
        <v>22</v>
      </c>
      <c r="B34" s="442">
        <f>'INPUT DATA'!L32</f>
        <v/>
      </c>
      <c r="C34" s="673" t="n"/>
      <c r="D34" s="673" t="n"/>
      <c r="E34" s="674" t="n"/>
      <c r="F34" s="52" t="n"/>
      <c r="G34" s="49" t="n"/>
      <c r="H34" s="49" t="n"/>
      <c r="I34" s="49" t="n"/>
      <c r="J34" s="49" t="n"/>
      <c r="K34" s="48">
        <f>IF(COUNT($F34:$J34)=0,"",SUM($F34:$J34))</f>
        <v/>
      </c>
      <c r="L34" s="47">
        <f>IFERROR(IF(K34="","",ROUND(K34/$K$11*100,2)),"")</f>
        <v/>
      </c>
      <c r="M34" s="54">
        <f>IFERROR(IF(L34="","",ROUND(L34*$M$11,2)),"")</f>
        <v/>
      </c>
      <c r="N34" s="52" t="n"/>
      <c r="O34" s="49" t="n"/>
      <c r="P34" s="49" t="n"/>
      <c r="Q34" s="48">
        <f>IF(COUNT($N34:$P34)=0,"",SUM($N34:$P34))</f>
        <v/>
      </c>
      <c r="R34" s="47">
        <f>IFERROR(IF(Q34="","",ROUND(Q34/$Q$11*100,2)),"")</f>
        <v/>
      </c>
      <c r="S34" s="54">
        <f>IFERROR(IF(R34="","",ROUND(R34*$S$11,2)),"")</f>
        <v/>
      </c>
      <c r="T34" s="265" t="n">
        <v>44</v>
      </c>
      <c r="U34" s="46" t="n"/>
      <c r="V34" s="268" t="n"/>
      <c r="W34" s="272">
        <f>IF(COUNT($T34:$V34)=0,"",SUM($T34:$V34))</f>
        <v/>
      </c>
      <c r="X34" s="352">
        <f>IFERROR(IF(W34="","",ROUND((($T34/$T$11)*30 + ($U34/$U$11)*30 + ($V34/$V$11)*40),2)),"")</f>
        <v/>
      </c>
      <c r="Y34" s="54">
        <f>IFERROR(IF(X34="","",ROUND(X34*$Y$11,2)),"")</f>
        <v/>
      </c>
      <c r="Z34" s="55">
        <f>IFERROR(M34+S34+Y34,"")</f>
        <v/>
      </c>
      <c r="AA34" s="274">
        <f>IFERROR(VLOOKUP(Z34,'Helper(IMPORTANT!)'!$CQ$1:$CR$41,2,TRUE),"")</f>
        <v/>
      </c>
      <c r="AB34" s="170">
        <f t="array" ref="AB34">IF(AA34="", "", _xlfn.IFS(AA34&gt;=90, "A", AA34&gt;=80, "B", AA34&gt;=75, "C", AA34&gt;=65, "D", AA34&gt;=0, "E"))</f>
        <v/>
      </c>
      <c r="AD34" s="39" t="n"/>
      <c r="AG34" s="38" t="n"/>
      <c r="AH34" s="38" t="n"/>
      <c r="AI34" s="38" t="n"/>
    </row>
    <row r="35" ht="18" customHeight="1">
      <c r="A35" s="169" t="n">
        <v>23</v>
      </c>
      <c r="B35" s="442">
        <f>'INPUT DATA'!L33</f>
        <v/>
      </c>
      <c r="C35" s="673" t="n"/>
      <c r="D35" s="673" t="n"/>
      <c r="E35" s="674" t="n"/>
      <c r="F35" s="52" t="n"/>
      <c r="G35" s="49" t="n"/>
      <c r="H35" s="49" t="n"/>
      <c r="I35" s="49" t="n"/>
      <c r="J35" s="49" t="n"/>
      <c r="K35" s="48">
        <f>IF(COUNT($F35:$J35)=0,"",SUM($F35:$J35))</f>
        <v/>
      </c>
      <c r="L35" s="47">
        <f>IFERROR(IF(K35="","",ROUND(K35/$K$11*100,2)),"")</f>
        <v/>
      </c>
      <c r="M35" s="54">
        <f>IFERROR(IF(L35="","",ROUND(L35*$M$11,2)),"")</f>
        <v/>
      </c>
      <c r="N35" s="52" t="n"/>
      <c r="O35" s="49" t="n"/>
      <c r="P35" s="49" t="n"/>
      <c r="Q35" s="48">
        <f>IF(COUNT($N35:$P35)=0,"",SUM($N35:$P35))</f>
        <v/>
      </c>
      <c r="R35" s="47">
        <f>IFERROR(IF(Q35="","",ROUND(Q35/$Q$11*100,2)),"")</f>
        <v/>
      </c>
      <c r="S35" s="54">
        <f>IFERROR(IF(R35="","",ROUND(R35*$S$11,2)),"")</f>
        <v/>
      </c>
      <c r="T35" s="265" t="n">
        <v>40</v>
      </c>
      <c r="U35" s="46" t="n"/>
      <c r="V35" s="268" t="n"/>
      <c r="W35" s="272">
        <f>IF(COUNT($T35:$V35)=0,"",SUM($T35:$V35))</f>
        <v/>
      </c>
      <c r="X35" s="352">
        <f>IFERROR(IF(W35="","",ROUND((($T35/$T$11)*30 + ($U35/$U$11)*30 + ($V35/$V$11)*40),2)),"")</f>
        <v/>
      </c>
      <c r="Y35" s="54">
        <f>IFERROR(IF(X35="","",ROUND(X35*$Y$11,2)),"")</f>
        <v/>
      </c>
      <c r="Z35" s="55">
        <f>IFERROR(M35+S35+Y35,"")</f>
        <v/>
      </c>
      <c r="AA35" s="274">
        <f>IFERROR(VLOOKUP(Z35,'Helper(IMPORTANT!)'!$CQ$1:$CR$41,2,TRUE),"")</f>
        <v/>
      </c>
      <c r="AB35" s="170">
        <f t="array" ref="AB35">IF(AA35="", "", _xlfn.IFS(AA35&gt;=90, "A", AA35&gt;=80, "B", AA35&gt;=75, "C", AA35&gt;=65, "D", AA35&gt;=0, "E"))</f>
        <v/>
      </c>
      <c r="AD35" s="39" t="n"/>
      <c r="AG35" s="38" t="n"/>
      <c r="AH35" s="38" t="n"/>
      <c r="AI35" s="38" t="n"/>
    </row>
    <row r="36" ht="18" customHeight="1">
      <c r="A36" s="169" t="n">
        <v>24</v>
      </c>
      <c r="B36" s="442">
        <f>'INPUT DATA'!L34</f>
        <v/>
      </c>
      <c r="C36" s="673" t="n"/>
      <c r="D36" s="673" t="n"/>
      <c r="E36" s="674" t="n"/>
      <c r="F36" s="52" t="n"/>
      <c r="G36" s="49" t="n"/>
      <c r="H36" s="49" t="n"/>
      <c r="I36" s="49" t="n"/>
      <c r="J36" s="49" t="n"/>
      <c r="K36" s="48">
        <f>IF(COUNT($F36:$J36)=0,"",SUM($F36:$J36))</f>
        <v/>
      </c>
      <c r="L36" s="47">
        <f>IFERROR(IF(K36="","",ROUND(K36/$K$11*100,2)),"")</f>
        <v/>
      </c>
      <c r="M36" s="54">
        <f>IFERROR(IF(L36="","",ROUND(L36*$M$11,2)),"")</f>
        <v/>
      </c>
      <c r="N36" s="52" t="n"/>
      <c r="O36" s="49" t="n"/>
      <c r="P36" s="49" t="n"/>
      <c r="Q36" s="48">
        <f>IF(COUNT($N36:$P36)=0,"",SUM($N36:$P36))</f>
        <v/>
      </c>
      <c r="R36" s="47">
        <f>IFERROR(IF(Q36="","",ROUND(Q36/$Q$11*100,2)),"")</f>
        <v/>
      </c>
      <c r="S36" s="54">
        <f>IFERROR(IF(R36="","",ROUND(R36*$S$11,2)),"")</f>
        <v/>
      </c>
      <c r="T36" s="265" t="n">
        <v>34</v>
      </c>
      <c r="U36" s="46" t="n"/>
      <c r="V36" s="268" t="n"/>
      <c r="W36" s="272">
        <f>IF(COUNT($T36:$V36)=0,"",SUM($T36:$V36))</f>
        <v/>
      </c>
      <c r="X36" s="352">
        <f>IFERROR(IF(W36="","",ROUND((($T36/$T$11)*30 + ($U36/$U$11)*30 + ($V36/$V$11)*40),2)),"")</f>
        <v/>
      </c>
      <c r="Y36" s="54">
        <f>IFERROR(IF(X36="","",ROUND(X36*$Y$11,2)),"")</f>
        <v/>
      </c>
      <c r="Z36" s="55">
        <f>IFERROR(M36+S36+Y36,"")</f>
        <v/>
      </c>
      <c r="AA36" s="274">
        <f>IFERROR(VLOOKUP(Z36,'Helper(IMPORTANT!)'!$CQ$1:$CR$41,2,TRUE),"")</f>
        <v/>
      </c>
      <c r="AB36" s="170">
        <f t="array" ref="AB36">IF(AA36="", "", _xlfn.IFS(AA36&gt;=90, "A", AA36&gt;=80, "B", AA36&gt;=75, "C", AA36&gt;=65, "D", AA36&gt;=0, "E"))</f>
        <v/>
      </c>
      <c r="AD36" s="39" t="n"/>
      <c r="AG36" s="38" t="n"/>
      <c r="AH36" s="38" t="n"/>
      <c r="AI36" s="38" t="n"/>
    </row>
    <row r="37" ht="18" customHeight="1">
      <c r="A37" s="169" t="n">
        <v>25</v>
      </c>
      <c r="B37" s="442">
        <f>'INPUT DATA'!L35</f>
        <v/>
      </c>
      <c r="C37" s="673" t="n"/>
      <c r="D37" s="673" t="n"/>
      <c r="E37" s="674" t="n"/>
      <c r="F37" s="52" t="n"/>
      <c r="G37" s="49" t="n"/>
      <c r="H37" s="49" t="n"/>
      <c r="I37" s="49" t="n"/>
      <c r="J37" s="49" t="n"/>
      <c r="K37" s="48">
        <f>IF(COUNT($F37:$J37)=0,"",SUM($F37:$J37))</f>
        <v/>
      </c>
      <c r="L37" s="47">
        <f>IFERROR(IF(K37="","",ROUND(K37/$K$11*100,2)),"")</f>
        <v/>
      </c>
      <c r="M37" s="54">
        <f>IFERROR(IF(L37="","",ROUND(L37*$M$11,2)),"")</f>
        <v/>
      </c>
      <c r="N37" s="52" t="n"/>
      <c r="O37" s="49" t="n"/>
      <c r="P37" s="49" t="n"/>
      <c r="Q37" s="48">
        <f>IF(COUNT($N37:$P37)=0,"",SUM($N37:$P37))</f>
        <v/>
      </c>
      <c r="R37" s="47">
        <f>IFERROR(IF(Q37="","",ROUND(Q37/$Q$11*100,2)),"")</f>
        <v/>
      </c>
      <c r="S37" s="54">
        <f>IFERROR(IF(R37="","",ROUND(R37*$S$11,2)),"")</f>
        <v/>
      </c>
      <c r="T37" s="265" t="n">
        <v>45</v>
      </c>
      <c r="U37" s="46" t="n"/>
      <c r="V37" s="268" t="n"/>
      <c r="W37" s="272">
        <f>IF(COUNT($T37:$V37)=0,"",SUM($T37:$V37))</f>
        <v/>
      </c>
      <c r="X37" s="352">
        <f>IFERROR(IF(W37="","",ROUND((($T37/$T$11)*30 + ($U37/$U$11)*30 + ($V37/$V$11)*40),2)),"")</f>
        <v/>
      </c>
      <c r="Y37" s="54">
        <f>IFERROR(IF(X37="","",ROUND(X37*$Y$11,2)),"")</f>
        <v/>
      </c>
      <c r="Z37" s="55">
        <f>IFERROR(M37+S37+Y37,"")</f>
        <v/>
      </c>
      <c r="AA37" s="274">
        <f>IFERROR(VLOOKUP(Z37,'Helper(IMPORTANT!)'!$CQ$1:$CR$41,2,TRUE),"")</f>
        <v/>
      </c>
      <c r="AB37" s="170">
        <f t="array" ref="AB37">IF(AA37="", "", _xlfn.IFS(AA37&gt;=90, "A", AA37&gt;=80, "B", AA37&gt;=75, "C", AA37&gt;=65, "D", AA37&gt;=0, "E"))</f>
        <v/>
      </c>
      <c r="AD37" s="39" t="n"/>
      <c r="AG37" s="38" t="n"/>
      <c r="AH37" s="38" t="n"/>
      <c r="AI37" s="38" t="n"/>
    </row>
    <row r="38" ht="18" customHeight="1">
      <c r="A38" s="169" t="n">
        <v>26</v>
      </c>
      <c r="B38" s="442">
        <f>'INPUT DATA'!L36</f>
        <v/>
      </c>
      <c r="C38" s="673" t="n"/>
      <c r="D38" s="673" t="n"/>
      <c r="E38" s="674" t="n"/>
      <c r="F38" s="52" t="n"/>
      <c r="G38" s="49" t="n"/>
      <c r="H38" s="49" t="n"/>
      <c r="I38" s="49" t="n"/>
      <c r="J38" s="49" t="n"/>
      <c r="K38" s="48">
        <f>IF(COUNT($F38:$J38)=0,"",SUM($F38:$J38))</f>
        <v/>
      </c>
      <c r="L38" s="47">
        <f>IFERROR(IF(K38="","",ROUND(K38/$K$11*100,2)),"")</f>
        <v/>
      </c>
      <c r="M38" s="54">
        <f>IFERROR(IF(L38="","",ROUND(L38*$M$11,2)),"")</f>
        <v/>
      </c>
      <c r="N38" s="52" t="n"/>
      <c r="O38" s="49" t="n"/>
      <c r="P38" s="49" t="n"/>
      <c r="Q38" s="48">
        <f>IF(COUNT($N38:$P38)=0,"",SUM($N38:$P38))</f>
        <v/>
      </c>
      <c r="R38" s="47">
        <f>IFERROR(IF(Q38="","",ROUND(Q38/$Q$11*100,2)),"")</f>
        <v/>
      </c>
      <c r="S38" s="54">
        <f>IFERROR(IF(R38="","",ROUND(R38*$S$11,2)),"")</f>
        <v/>
      </c>
      <c r="T38" s="265" t="n">
        <v>47</v>
      </c>
      <c r="U38" s="46" t="n"/>
      <c r="V38" s="268" t="n"/>
      <c r="W38" s="272">
        <f>IF(COUNT($T38:$V38)=0,"",SUM($T38:$V38))</f>
        <v/>
      </c>
      <c r="X38" s="352">
        <f>IFERROR(IF(W38="","",ROUND((($T38/$T$11)*30 + ($U38/$U$11)*30 + ($V38/$V$11)*40),2)),"")</f>
        <v/>
      </c>
      <c r="Y38" s="54">
        <f>IFERROR(IF(X38="","",ROUND(X38*$Y$11,2)),"")</f>
        <v/>
      </c>
      <c r="Z38" s="55">
        <f>IFERROR(M38+S38+Y38,"")</f>
        <v/>
      </c>
      <c r="AA38" s="274">
        <f>IFERROR(VLOOKUP(Z38,'Helper(IMPORTANT!)'!$CQ$1:$CR$41,2,TRUE),"")</f>
        <v/>
      </c>
      <c r="AB38" s="170">
        <f t="array" ref="AB38">IF(AA38="", "", _xlfn.IFS(AA38&gt;=90, "A", AA38&gt;=80, "B", AA38&gt;=75, "C", AA38&gt;=65, "D", AA38&gt;=0, "E"))</f>
        <v/>
      </c>
      <c r="AD38" s="39" t="n"/>
      <c r="AG38" s="38" t="n"/>
      <c r="AH38" s="38" t="n"/>
      <c r="AI38" s="38" t="n"/>
    </row>
    <row r="39" ht="18" customHeight="1">
      <c r="A39" s="169" t="n">
        <v>27</v>
      </c>
      <c r="B39" s="442">
        <f>'INPUT DATA'!L37</f>
        <v/>
      </c>
      <c r="C39" s="673" t="n"/>
      <c r="D39" s="673" t="n"/>
      <c r="E39" s="674" t="n"/>
      <c r="F39" s="52" t="n"/>
      <c r="G39" s="49" t="n"/>
      <c r="H39" s="49" t="n"/>
      <c r="I39" s="49" t="n"/>
      <c r="J39" s="49" t="n"/>
      <c r="K39" s="48">
        <f>IF(COUNT($F39:$J39)=0,"",SUM($F39:$J39))</f>
        <v/>
      </c>
      <c r="L39" s="47">
        <f>IFERROR(IF(K39="","",ROUND(K39/$K$11*100,2)),"")</f>
        <v/>
      </c>
      <c r="M39" s="54">
        <f>IFERROR(IF(L39="","",ROUND(L39*$M$11,2)),"")</f>
        <v/>
      </c>
      <c r="N39" s="52" t="n"/>
      <c r="O39" s="49" t="n"/>
      <c r="P39" s="49" t="n"/>
      <c r="Q39" s="48">
        <f>IF(COUNT($N39:$P39)=0,"",SUM($N39:$P39))</f>
        <v/>
      </c>
      <c r="R39" s="47">
        <f>IFERROR(IF(Q39="","",ROUND(Q39/$Q$11*100,2)),"")</f>
        <v/>
      </c>
      <c r="S39" s="54">
        <f>IFERROR(IF(R39="","",ROUND(R39*$S$11,2)),"")</f>
        <v/>
      </c>
      <c r="T39" s="265" t="n">
        <v>41</v>
      </c>
      <c r="U39" s="46" t="n"/>
      <c r="V39" s="268" t="n"/>
      <c r="W39" s="272">
        <f>IF(COUNT($T39:$V39)=0,"",SUM($T39:$V39))</f>
        <v/>
      </c>
      <c r="X39" s="352">
        <f>IFERROR(IF(W39="","",ROUND((($T39/$T$11)*30 + ($U39/$U$11)*30 + ($V39/$V$11)*40),2)),"")</f>
        <v/>
      </c>
      <c r="Y39" s="54">
        <f>IFERROR(IF(X39="","",ROUND(X39*$Y$11,2)),"")</f>
        <v/>
      </c>
      <c r="Z39" s="55">
        <f>IFERROR(M39+S39+Y39,"")</f>
        <v/>
      </c>
      <c r="AA39" s="274">
        <f>IFERROR(VLOOKUP(Z39,'Helper(IMPORTANT!)'!$CQ$1:$CR$41,2,TRUE),"")</f>
        <v/>
      </c>
      <c r="AB39" s="170">
        <f t="array" ref="AB39">IF(AA39="", "", _xlfn.IFS(AA39&gt;=90, "A", AA39&gt;=80, "B", AA39&gt;=75, "C", AA39&gt;=65, "D", AA39&gt;=0, "E"))</f>
        <v/>
      </c>
      <c r="AD39" s="39" t="n"/>
      <c r="AG39" s="38" t="n"/>
      <c r="AH39" s="38" t="n"/>
      <c r="AI39" s="38" t="n"/>
    </row>
    <row r="40" ht="18" customHeight="1">
      <c r="A40" s="169" t="n">
        <v>28</v>
      </c>
      <c r="B40" s="442">
        <f>'INPUT DATA'!L38</f>
        <v/>
      </c>
      <c r="C40" s="673" t="n"/>
      <c r="D40" s="673" t="n"/>
      <c r="E40" s="674" t="n"/>
      <c r="F40" s="52" t="n"/>
      <c r="G40" s="49" t="n"/>
      <c r="H40" s="49" t="n"/>
      <c r="I40" s="49" t="n"/>
      <c r="J40" s="49" t="n"/>
      <c r="K40" s="48">
        <f>IF(COUNT($F40:$J40)=0,"",SUM($F40:$J40))</f>
        <v/>
      </c>
      <c r="L40" s="47">
        <f>IFERROR(IF(K40="","",ROUND(K40/$K$11*100,2)),"")</f>
        <v/>
      </c>
      <c r="M40" s="54">
        <f>IFERROR(IF(L40="","",ROUND(L40*$M$11,2)),"")</f>
        <v/>
      </c>
      <c r="N40" s="52" t="n"/>
      <c r="O40" s="49" t="n"/>
      <c r="P40" s="49" t="n"/>
      <c r="Q40" s="48">
        <f>IF(COUNT($N40:$P40)=0,"",SUM($N40:$P40))</f>
        <v/>
      </c>
      <c r="R40" s="47">
        <f>IFERROR(IF(Q40="","",ROUND(Q40/$Q$11*100,2)),"")</f>
        <v/>
      </c>
      <c r="S40" s="54">
        <f>IFERROR(IF(R40="","",ROUND(R40*$S$11,2)),"")</f>
        <v/>
      </c>
      <c r="T40" s="359" t="n"/>
      <c r="U40" s="46" t="n"/>
      <c r="V40" s="268" t="n"/>
      <c r="W40" s="272">
        <f>IF(COUNT($T40:$V40)=0,"",SUM($T40:$V40))</f>
        <v/>
      </c>
      <c r="X40" s="352">
        <f>IFERROR(IF(W40="","",ROUND((($T40/$T$11)*30 + ($U40/$U$11)*30 + ($V40/$V$11)*40),2)),"")</f>
        <v/>
      </c>
      <c r="Y40" s="54">
        <f>IFERROR(IF(X40="","",ROUND(X40*$Y$11,2)),"")</f>
        <v/>
      </c>
      <c r="Z40" s="55">
        <f>IFERROR(M40+S40+Y40,"")</f>
        <v/>
      </c>
      <c r="AA40" s="274">
        <f>IFERROR(VLOOKUP(Z40,'Helper(IMPORTANT!)'!$CQ$1:$CR$41,2,TRUE),"")</f>
        <v/>
      </c>
      <c r="AB40" s="170">
        <f t="array" ref="AB40">IF(AA40="", "", _xlfn.IFS(AA40&gt;=90, "A", AA40&gt;=80, "B", AA40&gt;=75, "C", AA40&gt;=65, "D", AA40&gt;=0, "E"))</f>
        <v/>
      </c>
      <c r="AD40" s="39" t="n"/>
      <c r="AG40" s="38" t="n"/>
      <c r="AH40" s="38" t="n"/>
      <c r="AI40" s="38" t="n"/>
    </row>
    <row r="41" ht="18" customHeight="1">
      <c r="A41" s="169" t="n">
        <v>29</v>
      </c>
      <c r="B41" s="442">
        <f>'INPUT DATA'!L39</f>
        <v/>
      </c>
      <c r="C41" s="673" t="n"/>
      <c r="D41" s="673" t="n"/>
      <c r="E41" s="674" t="n"/>
      <c r="F41" s="52" t="n"/>
      <c r="G41" s="49" t="n"/>
      <c r="H41" s="49" t="n"/>
      <c r="I41" s="49" t="n"/>
      <c r="J41" s="49" t="n"/>
      <c r="K41" s="48">
        <f>IF(COUNT($F41:$J41)=0,"",SUM($F41:$J41))</f>
        <v/>
      </c>
      <c r="L41" s="47">
        <f>IFERROR(IF(K41="","",ROUND(K41/$K$11*100,2)),"")</f>
        <v/>
      </c>
      <c r="M41" s="54">
        <f>IFERROR(IF(L41="","",ROUND(L41*$M$11,2)),"")</f>
        <v/>
      </c>
      <c r="N41" s="52" t="n"/>
      <c r="O41" s="49" t="n"/>
      <c r="P41" s="49" t="n"/>
      <c r="Q41" s="48">
        <f>IF(COUNT($N41:$P41)=0,"",SUM($N41:$P41))</f>
        <v/>
      </c>
      <c r="R41" s="47">
        <f>IFERROR(IF(Q41="","",ROUND(Q41/$Q$11*100,2)),"")</f>
        <v/>
      </c>
      <c r="S41" s="54">
        <f>IFERROR(IF(R41="","",ROUND(R41*$S$11,2)),"")</f>
        <v/>
      </c>
      <c r="T41" s="265" t="n"/>
      <c r="U41" s="46" t="n"/>
      <c r="V41" s="268" t="n"/>
      <c r="W41" s="272">
        <f>IF(COUNT($T41:$V41)=0,"",SUM($T41:$V41))</f>
        <v/>
      </c>
      <c r="X41" s="352">
        <f>IFERROR(IF(W41="","",ROUND((($T41/$T$11)*30 + ($U41/$U$11)*30 + ($V41/$V$11)*40),2)),"")</f>
        <v/>
      </c>
      <c r="Y41" s="54">
        <f>IFERROR(IF(X41="","",ROUND(X41*$Y$11,2)),"")</f>
        <v/>
      </c>
      <c r="Z41" s="55">
        <f>IFERROR(M41+S41+Y41,"")</f>
        <v/>
      </c>
      <c r="AA41" s="274">
        <f>IFERROR(VLOOKUP(Z41,'Helper(IMPORTANT!)'!$CQ$1:$CR$41,2,TRUE),"")</f>
        <v/>
      </c>
      <c r="AB41" s="170">
        <f t="array" ref="AB41">IF(AA41="", "", _xlfn.IFS(AA41&gt;=90, "A", AA41&gt;=80, "B", AA41&gt;=75, "C", AA41&gt;=65, "D", AA41&gt;=0, "E"))</f>
        <v/>
      </c>
      <c r="AD41" s="39" t="n"/>
      <c r="AG41" s="38" t="n"/>
      <c r="AH41" s="38" t="n"/>
      <c r="AI41" s="38" t="n"/>
    </row>
    <row r="42" ht="18" customHeight="1">
      <c r="A42" s="169" t="n">
        <v>30</v>
      </c>
      <c r="B42" s="442">
        <f>'INPUT DATA'!L40</f>
        <v/>
      </c>
      <c r="C42" s="673" t="n"/>
      <c r="D42" s="673" t="n"/>
      <c r="E42" s="674" t="n"/>
      <c r="F42" s="52" t="n"/>
      <c r="G42" s="49" t="n"/>
      <c r="H42" s="49" t="n"/>
      <c r="I42" s="49" t="n"/>
      <c r="J42" s="49" t="n"/>
      <c r="K42" s="48">
        <f>IF(COUNT($F42:$J42)=0,"",SUM($F42:$J42))</f>
        <v/>
      </c>
      <c r="L42" s="47">
        <f>IFERROR(IF(K42="","",ROUND(K42/$K$11*100,2)),"")</f>
        <v/>
      </c>
      <c r="M42" s="54">
        <f>IFERROR(IF(L42="","",ROUND(L42*$M$11,2)),"")</f>
        <v/>
      </c>
      <c r="N42" s="52" t="n"/>
      <c r="O42" s="49" t="n"/>
      <c r="P42" s="49" t="n"/>
      <c r="Q42" s="48">
        <f>IF(COUNT($N42:$P42)=0,"",SUM($N42:$P42))</f>
        <v/>
      </c>
      <c r="R42" s="47">
        <f>IFERROR(IF(Q42="","",ROUND(Q42/$Q$11*100,2)),"")</f>
        <v/>
      </c>
      <c r="S42" s="54">
        <f>IFERROR(IF(R42="","",ROUND(R42*$S$11,2)),"")</f>
        <v/>
      </c>
      <c r="T42" s="265" t="n"/>
      <c r="U42" s="46" t="n"/>
      <c r="V42" s="268" t="n"/>
      <c r="W42" s="272">
        <f>IF(COUNT($T42:$V42)=0,"",SUM($T42:$V42))</f>
        <v/>
      </c>
      <c r="X42" s="352">
        <f>IFERROR(IF(W42="","",ROUND((($T42/$T$11)*30 + ($U42/$U$11)*30 + ($V42/$V$11)*40),2)),"")</f>
        <v/>
      </c>
      <c r="Y42" s="54">
        <f>IFERROR(IF(X42="","",ROUND(X42*$Y$11,2)),"")</f>
        <v/>
      </c>
      <c r="Z42" s="55">
        <f>IFERROR(M42+S42+Y42,"")</f>
        <v/>
      </c>
      <c r="AA42" s="274">
        <f>IFERROR(VLOOKUP(Z42,'Helper(IMPORTANT!)'!$CQ$1:$CR$41,2,TRUE),"")</f>
        <v/>
      </c>
      <c r="AB42" s="170">
        <f t="array" ref="AB42">IF(AA42="", "", _xlfn.IFS(AA42&gt;=90, "A", AA42&gt;=80, "B", AA42&gt;=75, "C", AA42&gt;=65, "D", AA42&gt;=0, "E"))</f>
        <v/>
      </c>
      <c r="AD42" s="39" t="n"/>
      <c r="AG42" s="38" t="n"/>
      <c r="AH42" s="38" t="n"/>
      <c r="AI42" s="38" t="n"/>
    </row>
    <row r="43" ht="18" customHeight="1">
      <c r="A43" s="169" t="n">
        <v>31</v>
      </c>
      <c r="B43" s="442">
        <f>'INPUT DATA'!L41</f>
        <v/>
      </c>
      <c r="C43" s="673" t="n"/>
      <c r="D43" s="673" t="n"/>
      <c r="E43" s="674" t="n"/>
      <c r="F43" s="52" t="n"/>
      <c r="G43" s="49" t="n"/>
      <c r="H43" s="49" t="n"/>
      <c r="I43" s="49" t="n"/>
      <c r="J43" s="49" t="n"/>
      <c r="K43" s="48">
        <f>IF(COUNT($F43:$J43)=0,"",SUM($F43:$J43))</f>
        <v/>
      </c>
      <c r="L43" s="47">
        <f>IFERROR(IF(K43="","",ROUND(K43/$K$11*100,2)),"")</f>
        <v/>
      </c>
      <c r="M43" s="54">
        <f>IFERROR(IF(L43="","",ROUND(L43*$M$11,2)),"")</f>
        <v/>
      </c>
      <c r="N43" s="52" t="n"/>
      <c r="O43" s="49" t="n"/>
      <c r="P43" s="49" t="n"/>
      <c r="Q43" s="48">
        <f>IF(COUNT($N43:$P43)=0,"",SUM($N43:$P43))</f>
        <v/>
      </c>
      <c r="R43" s="47">
        <f>IFERROR(IF(Q43="","",ROUND(Q43/$Q$11*100,2)),"")</f>
        <v/>
      </c>
      <c r="S43" s="54">
        <f>IFERROR(IF(R43="","",ROUND(R43*$S$11,2)),"")</f>
        <v/>
      </c>
      <c r="T43" s="265" t="n"/>
      <c r="U43" s="46" t="n"/>
      <c r="V43" s="268" t="n"/>
      <c r="W43" s="272">
        <f>IF(COUNT($T43:$V43)=0,"",SUM($T43:$V43))</f>
        <v/>
      </c>
      <c r="X43" s="352">
        <f>IFERROR(IF(W43="","",ROUND((($T43/$T$11)*30 + ($U43/$U$11)*30 + ($V43/$V$11)*40),2)),"")</f>
        <v/>
      </c>
      <c r="Y43" s="54">
        <f>IFERROR(IF(X43="","",ROUND(X43*$Y$11,2)),"")</f>
        <v/>
      </c>
      <c r="Z43" s="55">
        <f>IFERROR(M43+S43+Y43,"")</f>
        <v/>
      </c>
      <c r="AA43" s="274">
        <f>IFERROR(VLOOKUP(Z43,'Helper(IMPORTANT!)'!$CQ$1:$CR$41,2,TRUE),"")</f>
        <v/>
      </c>
      <c r="AB43" s="170">
        <f t="array" ref="AB43">IF(AA43="", "", _xlfn.IFS(AA43&gt;=90, "A", AA43&gt;=80, "B", AA43&gt;=75, "C", AA43&gt;=65, "D", AA43&gt;=0, "E"))</f>
        <v/>
      </c>
      <c r="AD43" s="39" t="n"/>
      <c r="AG43" s="38" t="n"/>
      <c r="AH43" s="38" t="n"/>
      <c r="AI43" s="38" t="n"/>
    </row>
    <row r="44" ht="18" customHeight="1">
      <c r="A44" s="169" t="n">
        <v>32</v>
      </c>
      <c r="B44" s="442">
        <f>'INPUT DATA'!L42</f>
        <v/>
      </c>
      <c r="C44" s="673" t="n"/>
      <c r="D44" s="673" t="n"/>
      <c r="E44" s="674" t="n"/>
      <c r="F44" s="52" t="n"/>
      <c r="G44" s="49" t="n"/>
      <c r="H44" s="49" t="n"/>
      <c r="I44" s="49" t="n"/>
      <c r="J44" s="49" t="n"/>
      <c r="K44" s="48">
        <f>IF(COUNT($F44:$J44)=0,"",SUM($F44:$J44))</f>
        <v/>
      </c>
      <c r="L44" s="47">
        <f>IFERROR(IF(K44="","",ROUND(K44/$K$11*100,2)),"")</f>
        <v/>
      </c>
      <c r="M44" s="54">
        <f>IFERROR(IF(L44="","",ROUND(L44*$M$11,2)),"")</f>
        <v/>
      </c>
      <c r="N44" s="52" t="n"/>
      <c r="O44" s="49" t="n"/>
      <c r="P44" s="49" t="n"/>
      <c r="Q44" s="48">
        <f>IF(COUNT($N44:$P44)=0,"",SUM($N44:$P44))</f>
        <v/>
      </c>
      <c r="R44" s="47">
        <f>IFERROR(IF(Q44="","",ROUND(Q44/$Q$11*100,2)),"")</f>
        <v/>
      </c>
      <c r="S44" s="54">
        <f>IFERROR(IF(R44="","",ROUND(R44*$S$11,2)),"")</f>
        <v/>
      </c>
      <c r="T44" s="265" t="n"/>
      <c r="U44" s="46" t="n"/>
      <c r="V44" s="268" t="n"/>
      <c r="W44" s="272">
        <f>IF(COUNT($T44:$V44)=0,"",SUM($T44:$V44))</f>
        <v/>
      </c>
      <c r="X44" s="352">
        <f>IFERROR(IF(W44="","",ROUND((($T44/$T$11)*30 + ($U44/$U$11)*30 + ($V44/$V$11)*40),2)),"")</f>
        <v/>
      </c>
      <c r="Y44" s="54">
        <f>IFERROR(IF(X44="","",ROUND(X44*$Y$11,2)),"")</f>
        <v/>
      </c>
      <c r="Z44" s="55">
        <f>IFERROR(M44+S44+Y44,"")</f>
        <v/>
      </c>
      <c r="AA44" s="274">
        <f>IFERROR(VLOOKUP(Z44,'Helper(IMPORTANT!)'!$CQ$1:$CR$41,2,TRUE),"")</f>
        <v/>
      </c>
      <c r="AB44" s="170">
        <f t="array" ref="AB44">IF(AA44="", "", _xlfn.IFS(AA44&gt;=90, "A", AA44&gt;=80, "B", AA44&gt;=75, "C", AA44&gt;=65, "D", AA44&gt;=0, "E"))</f>
        <v/>
      </c>
      <c r="AD44" s="39" t="n"/>
      <c r="AG44" s="38" t="n"/>
      <c r="AH44" s="38" t="n"/>
      <c r="AI44" s="38" t="n"/>
    </row>
    <row r="45" ht="18" customHeight="1">
      <c r="A45" s="169" t="n">
        <v>33</v>
      </c>
      <c r="B45" s="442">
        <f>'INPUT DATA'!L43</f>
        <v/>
      </c>
      <c r="C45" s="673" t="n"/>
      <c r="D45" s="673" t="n"/>
      <c r="E45" s="674" t="n"/>
      <c r="F45" s="52" t="n"/>
      <c r="G45" s="49" t="n"/>
      <c r="H45" s="49" t="n"/>
      <c r="I45" s="49" t="n"/>
      <c r="J45" s="49" t="n"/>
      <c r="K45" s="48">
        <f>IF(COUNT($F45:$J45)=0,"",SUM($F45:$J45))</f>
        <v/>
      </c>
      <c r="L45" s="47">
        <f>IFERROR(IF(K45="","",ROUND(K45/$K$11*100,2)),"")</f>
        <v/>
      </c>
      <c r="M45" s="54">
        <f>IFERROR(IF(L45="","",ROUND(L45*$M$11,2)),"")</f>
        <v/>
      </c>
      <c r="N45" s="52" t="n"/>
      <c r="O45" s="49" t="n"/>
      <c r="P45" s="49" t="n"/>
      <c r="Q45" s="48">
        <f>IF(COUNT($N45:$P45)=0,"",SUM($N45:$P45))</f>
        <v/>
      </c>
      <c r="R45" s="47">
        <f>IFERROR(IF(Q45="","",ROUND(Q45/$Q$11*100,2)),"")</f>
        <v/>
      </c>
      <c r="S45" s="54">
        <f>IFERROR(IF(R45="","",ROUND(R45*$S$11,2)),"")</f>
        <v/>
      </c>
      <c r="T45" s="265" t="n"/>
      <c r="U45" s="46" t="n"/>
      <c r="V45" s="268" t="n"/>
      <c r="W45" s="272">
        <f>IF(COUNT($T45:$V45)=0,"",SUM($T45:$V45))</f>
        <v/>
      </c>
      <c r="X45" s="352">
        <f>IFERROR(IF(W45="","",ROUND((($T45/$T$11)*30 + ($U45/$U$11)*30 + ($V45/$V$11)*40),2)),"")</f>
        <v/>
      </c>
      <c r="Y45" s="54">
        <f>IFERROR(IF(X45="","",ROUND(X45*$Y$11,2)),"")</f>
        <v/>
      </c>
      <c r="Z45" s="55">
        <f>IFERROR(M45+S45+Y45,"")</f>
        <v/>
      </c>
      <c r="AA45" s="274">
        <f>IFERROR(VLOOKUP(Z45,'Helper(IMPORTANT!)'!$CQ$1:$CR$41,2,TRUE),"")</f>
        <v/>
      </c>
      <c r="AB45" s="170">
        <f t="array" ref="AB45">IF(AA45="", "", _xlfn.IFS(AA45&gt;=90, "A", AA45&gt;=80, "B", AA45&gt;=75, "C", AA45&gt;=65, "D", AA45&gt;=0, "E"))</f>
        <v/>
      </c>
      <c r="AD45" s="39" t="n"/>
      <c r="AG45" s="38" t="n"/>
      <c r="AH45" s="38" t="n"/>
      <c r="AI45" s="38" t="n"/>
    </row>
    <row r="46" ht="18" customHeight="1">
      <c r="A46" s="169" t="n">
        <v>34</v>
      </c>
      <c r="B46" s="442">
        <f>'INPUT DATA'!L44</f>
        <v/>
      </c>
      <c r="C46" s="673" t="n"/>
      <c r="D46" s="673" t="n"/>
      <c r="E46" s="674" t="n"/>
      <c r="F46" s="52" t="n"/>
      <c r="G46" s="49" t="n"/>
      <c r="H46" s="49" t="n"/>
      <c r="I46" s="49" t="n"/>
      <c r="J46" s="49" t="n"/>
      <c r="K46" s="48">
        <f>IF(COUNT($F46:$J46)=0,"",SUM($F46:$J46))</f>
        <v/>
      </c>
      <c r="L46" s="47">
        <f>IFERROR(IF(K46="","",ROUND(K46/$K$11*100,2)),"")</f>
        <v/>
      </c>
      <c r="M46" s="54">
        <f>IFERROR(IF(L46="","",ROUND(L46*$M$11,2)),"")</f>
        <v/>
      </c>
      <c r="N46" s="52" t="n"/>
      <c r="O46" s="49" t="n"/>
      <c r="P46" s="49" t="n"/>
      <c r="Q46" s="48">
        <f>IF(COUNT($N46:$P46)=0,"",SUM($N46:$P46))</f>
        <v/>
      </c>
      <c r="R46" s="47">
        <f>IFERROR(IF(Q46="","",ROUND(Q46/$Q$11*100,2)),"")</f>
        <v/>
      </c>
      <c r="S46" s="54">
        <f>IFERROR(IF(R46="","",ROUND(R46*$S$11,2)),"")</f>
        <v/>
      </c>
      <c r="T46" s="265" t="n"/>
      <c r="U46" s="46" t="n"/>
      <c r="V46" s="268" t="n"/>
      <c r="W46" s="272">
        <f>IF(COUNT($T46:$V46)=0,"",SUM($T46:$V46))</f>
        <v/>
      </c>
      <c r="X46" s="352">
        <f>IFERROR(IF(W46="","",ROUND((($T46/$T$11)*30 + ($U46/$U$11)*30 + ($V46/$V$11)*40),2)),"")</f>
        <v/>
      </c>
      <c r="Y46" s="54">
        <f>IFERROR(IF(X46="","",ROUND(X46*$Y$11,2)),"")</f>
        <v/>
      </c>
      <c r="Z46" s="55">
        <f>IFERROR(M46+S46+Y46,"")</f>
        <v/>
      </c>
      <c r="AA46" s="274">
        <f>IFERROR(VLOOKUP(Z46,'Helper(IMPORTANT!)'!$CQ$1:$CR$41,2,TRUE),"")</f>
        <v/>
      </c>
      <c r="AB46" s="170">
        <f t="array" ref="AB46">IF(AA46="", "", _xlfn.IFS(AA46&gt;=90, "A", AA46&gt;=80, "B", AA46&gt;=75, "C", AA46&gt;=65, "D", AA46&gt;=0, "E"))</f>
        <v/>
      </c>
      <c r="AD46" s="39" t="n"/>
      <c r="AG46" s="38" t="n"/>
      <c r="AH46" s="38" t="n"/>
      <c r="AI46" s="38" t="n"/>
    </row>
    <row r="47" ht="18" customHeight="1">
      <c r="A47" s="169" t="n">
        <v>35</v>
      </c>
      <c r="B47" s="442">
        <f>'INPUT DATA'!L45</f>
        <v/>
      </c>
      <c r="C47" s="673" t="n"/>
      <c r="D47" s="673" t="n"/>
      <c r="E47" s="674" t="n"/>
      <c r="F47" s="52" t="n"/>
      <c r="G47" s="49" t="n"/>
      <c r="H47" s="49" t="n"/>
      <c r="I47" s="49" t="n"/>
      <c r="J47" s="49" t="n"/>
      <c r="K47" s="48">
        <f>IF(COUNT($F47:$J47)=0,"",SUM($F47:$J47))</f>
        <v/>
      </c>
      <c r="L47" s="47">
        <f>IFERROR(IF(K47="","",ROUND(K47/$K$11*100,2)),"")</f>
        <v/>
      </c>
      <c r="M47" s="54">
        <f>IFERROR(IF(L47="","",ROUND(L47*$M$11,2)),"")</f>
        <v/>
      </c>
      <c r="N47" s="52" t="n"/>
      <c r="O47" s="49" t="n"/>
      <c r="P47" s="49" t="n"/>
      <c r="Q47" s="48">
        <f>IF(COUNT($N47:$P47)=0,"",SUM($N47:$P47))</f>
        <v/>
      </c>
      <c r="R47" s="47">
        <f>IFERROR(IF(Q47="","",ROUND(Q47/$Q$11*100,2)),"")</f>
        <v/>
      </c>
      <c r="S47" s="54">
        <f>IFERROR(IF(R47="","",ROUND(R47*$S$11,2)),"")</f>
        <v/>
      </c>
      <c r="T47" s="265" t="n"/>
      <c r="U47" s="46" t="n"/>
      <c r="V47" s="268" t="n"/>
      <c r="W47" s="272">
        <f>IF(COUNT($T47:$V47)=0,"",SUM($T47:$V47))</f>
        <v/>
      </c>
      <c r="X47" s="352">
        <f>IFERROR(IF(W47="","",ROUND((($T47/$T$11)*30 + ($U47/$U$11)*30 + ($V47/$V$11)*40),2)),"")</f>
        <v/>
      </c>
      <c r="Y47" s="54">
        <f>IFERROR(IF(X47="","",ROUND(X47*$Y$11,2)),"")</f>
        <v/>
      </c>
      <c r="Z47" s="55">
        <f>IFERROR(M47+S47+Y47,"")</f>
        <v/>
      </c>
      <c r="AA47" s="274">
        <f>IFERROR(VLOOKUP(Z47,'Helper(IMPORTANT!)'!$CQ$1:$CR$41,2,TRUE),"")</f>
        <v/>
      </c>
      <c r="AB47" s="170">
        <f t="array" ref="AB47">IF(AA47="", "", _xlfn.IFS(AA47&gt;=90, "A", AA47&gt;=80, "B", AA47&gt;=75, "C", AA47&gt;=65, "D", AA47&gt;=0, "E"))</f>
        <v/>
      </c>
      <c r="AD47" s="39" t="n"/>
      <c r="AG47" s="38" t="n"/>
      <c r="AH47" s="38" t="n"/>
      <c r="AI47" s="38" t="n"/>
    </row>
    <row r="48" ht="18" customHeight="1">
      <c r="A48" s="169" t="n">
        <v>36</v>
      </c>
      <c r="B48" s="442">
        <f>'INPUT DATA'!L46</f>
        <v/>
      </c>
      <c r="C48" s="673" t="n"/>
      <c r="D48" s="673" t="n"/>
      <c r="E48" s="674" t="n"/>
      <c r="F48" s="52" t="n"/>
      <c r="G48" s="49" t="n"/>
      <c r="H48" s="49" t="n"/>
      <c r="I48" s="49" t="n"/>
      <c r="J48" s="49" t="n"/>
      <c r="K48" s="48">
        <f>IF(COUNT($F48:$J48)=0,"",SUM($F48:$J48))</f>
        <v/>
      </c>
      <c r="L48" s="47">
        <f>IFERROR(IF(K48="","",ROUND(K48/$K$11*100,2)),"")</f>
        <v/>
      </c>
      <c r="M48" s="54">
        <f>IFERROR(IF(L48="","",ROUND(L48*$M$11,2)),"")</f>
        <v/>
      </c>
      <c r="N48" s="52" t="n"/>
      <c r="O48" s="49" t="n"/>
      <c r="P48" s="49" t="n"/>
      <c r="Q48" s="48">
        <f>IF(COUNT($N48:$P48)=0,"",SUM($N48:$P48))</f>
        <v/>
      </c>
      <c r="R48" s="47">
        <f>IFERROR(IF(Q48="","",ROUND(Q48/$Q$11*100,2)),"")</f>
        <v/>
      </c>
      <c r="S48" s="54">
        <f>IFERROR(IF(R48="","",ROUND(R48*$S$11,2)),"")</f>
        <v/>
      </c>
      <c r="T48" s="265" t="n"/>
      <c r="U48" s="46" t="n"/>
      <c r="V48" s="268" t="n"/>
      <c r="W48" s="272">
        <f>IF(COUNT($T48:$V48)=0,"",SUM($T48:$V48))</f>
        <v/>
      </c>
      <c r="X48" s="352">
        <f>IFERROR(IF(W48="","",ROUND((($T48/$T$11)*30 + ($U48/$U$11)*30 + ($V48/$V$11)*40),2)),"")</f>
        <v/>
      </c>
      <c r="Y48" s="54">
        <f>IFERROR(IF(X48="","",ROUND(X48*$Y$11,2)),"")</f>
        <v/>
      </c>
      <c r="Z48" s="55">
        <f>IFERROR(M48+S48+Y48,"")</f>
        <v/>
      </c>
      <c r="AA48" s="274">
        <f>IFERROR(VLOOKUP(Z48,'Helper(IMPORTANT!)'!$CQ$1:$CR$41,2,TRUE),"")</f>
        <v/>
      </c>
      <c r="AB48" s="170">
        <f t="array" ref="AB48">IF(AA48="", "", _xlfn.IFS(AA48&gt;=90, "A", AA48&gt;=80, "B", AA48&gt;=75, "C", AA48&gt;=65, "D", AA48&gt;=0, "E"))</f>
        <v/>
      </c>
      <c r="AD48" s="39" t="n"/>
      <c r="AG48" s="38" t="n"/>
      <c r="AH48" s="38" t="n"/>
      <c r="AI48" s="38" t="n"/>
    </row>
    <row r="49" ht="18" customHeight="1">
      <c r="A49" s="169" t="n">
        <v>37</v>
      </c>
      <c r="B49" s="442">
        <f>'INPUT DATA'!L47</f>
        <v/>
      </c>
      <c r="C49" s="673" t="n"/>
      <c r="D49" s="673" t="n"/>
      <c r="E49" s="674" t="n"/>
      <c r="F49" s="52" t="n"/>
      <c r="G49" s="49" t="n"/>
      <c r="H49" s="49" t="n"/>
      <c r="I49" s="49" t="n"/>
      <c r="J49" s="49" t="n"/>
      <c r="K49" s="48">
        <f>IF(COUNT($F49:$J49)=0,"",SUM($F49:$J49))</f>
        <v/>
      </c>
      <c r="L49" s="47">
        <f>IFERROR(IF(K49="","",ROUND(K49/$K$11*100,2)),"")</f>
        <v/>
      </c>
      <c r="M49" s="54">
        <f>IFERROR(IF(L49="","",ROUND(L49*$M$11,2)),"")</f>
        <v/>
      </c>
      <c r="N49" s="52" t="n"/>
      <c r="O49" s="49" t="n"/>
      <c r="P49" s="49" t="n"/>
      <c r="Q49" s="48">
        <f>IF(COUNT($N49:$P49)=0,"",SUM($N49:$P49))</f>
        <v/>
      </c>
      <c r="R49" s="47">
        <f>IFERROR(IF(Q49="","",ROUND(Q49/$Q$11*100,2)),"")</f>
        <v/>
      </c>
      <c r="S49" s="54">
        <f>IFERROR(IF(R49="","",ROUND(R49*$S$11,2)),"")</f>
        <v/>
      </c>
      <c r="T49" s="265" t="n"/>
      <c r="U49" s="46" t="n"/>
      <c r="V49" s="268" t="n"/>
      <c r="W49" s="272">
        <f>IF(COUNT($T49:$V49)=0,"",SUM($T49:$V49))</f>
        <v/>
      </c>
      <c r="X49" s="352">
        <f>IFERROR(IF(W49="","",ROUND((($T49/$T$11)*30 + ($U49/$U$11)*30 + ($V49/$V$11)*40),2)),"")</f>
        <v/>
      </c>
      <c r="Y49" s="54">
        <f>IFERROR(IF(X49="","",ROUND(X49*$Y$11,2)),"")</f>
        <v/>
      </c>
      <c r="Z49" s="55">
        <f>IFERROR(M49+S49+Y49,"")</f>
        <v/>
      </c>
      <c r="AA49" s="274">
        <f>IFERROR(VLOOKUP(Z49,'Helper(IMPORTANT!)'!$CQ$1:$CR$41,2,TRUE),"")</f>
        <v/>
      </c>
      <c r="AB49" s="170">
        <f t="array" ref="AB49">IF(AA49="", "", _xlfn.IFS(AA49&gt;=90, "A", AA49&gt;=80, "B", AA49&gt;=75, "C", AA49&gt;=65, "D", AA49&gt;=0, "E"))</f>
        <v/>
      </c>
      <c r="AD49" s="39" t="n"/>
      <c r="AG49" s="38" t="n"/>
      <c r="AH49" s="38" t="n"/>
      <c r="AI49" s="38" t="n"/>
    </row>
    <row r="50" ht="18" customHeight="1">
      <c r="A50" s="169" t="n">
        <v>38</v>
      </c>
      <c r="B50" s="442">
        <f>'INPUT DATA'!L48</f>
        <v/>
      </c>
      <c r="C50" s="673" t="n"/>
      <c r="D50" s="673" t="n"/>
      <c r="E50" s="674" t="n"/>
      <c r="F50" s="52" t="n"/>
      <c r="G50" s="49" t="n"/>
      <c r="H50" s="49" t="n"/>
      <c r="I50" s="49" t="n"/>
      <c r="J50" s="49" t="n"/>
      <c r="K50" s="48">
        <f>IF(COUNT($F50:$J50)=0,"",SUM($F50:$J50))</f>
        <v/>
      </c>
      <c r="L50" s="47">
        <f>IFERROR(IF(K50="","",ROUND(K50/$K$11*100,2)),"")</f>
        <v/>
      </c>
      <c r="M50" s="54">
        <f>IFERROR(IF(L50="","",ROUND(L50*$M$11,2)),"")</f>
        <v/>
      </c>
      <c r="N50" s="52" t="n"/>
      <c r="O50" s="49" t="n"/>
      <c r="P50" s="49" t="n"/>
      <c r="Q50" s="48">
        <f>IF(COUNT($N50:$P50)=0,"",SUM($N50:$P50))</f>
        <v/>
      </c>
      <c r="R50" s="47">
        <f>IFERROR(IF(Q50="","",ROUND(Q50/$Q$11*100,2)),"")</f>
        <v/>
      </c>
      <c r="S50" s="54">
        <f>IFERROR(IF(R50="","",ROUND(R50*$S$11,2)),"")</f>
        <v/>
      </c>
      <c r="T50" s="265" t="n"/>
      <c r="U50" s="46" t="n"/>
      <c r="V50" s="268" t="n"/>
      <c r="W50" s="272">
        <f>IF(COUNT($T50:$V50)=0,"",SUM($T50:$V50))</f>
        <v/>
      </c>
      <c r="X50" s="352">
        <f>IFERROR(IF(W50="","",ROUND((($T50/$T$11)*30 + ($U50/$U$11)*30 + ($V50/$V$11)*40),2)),"")</f>
        <v/>
      </c>
      <c r="Y50" s="54">
        <f>IFERROR(IF(X50="","",ROUND(X50*$Y$11,2)),"")</f>
        <v/>
      </c>
      <c r="Z50" s="55">
        <f>IFERROR(M50+S50+Y50,"")</f>
        <v/>
      </c>
      <c r="AA50" s="274">
        <f>IFERROR(VLOOKUP(Z50,'Helper(IMPORTANT!)'!$CQ$1:$CR$41,2,TRUE),"")</f>
        <v/>
      </c>
      <c r="AB50" s="170">
        <f t="array" ref="AB50">IF(AA50="", "", _xlfn.IFS(AA50&gt;=90, "A", AA50&gt;=80, "B", AA50&gt;=75, "C", AA50&gt;=65, "D", AA50&gt;=0, "E"))</f>
        <v/>
      </c>
      <c r="AD50" s="39" t="n"/>
      <c r="AG50" s="38" t="n"/>
      <c r="AH50" s="38" t="n"/>
      <c r="AI50" s="38" t="n"/>
    </row>
    <row r="51" ht="18" customHeight="1">
      <c r="A51" s="169" t="n">
        <v>39</v>
      </c>
      <c r="B51" s="442">
        <f>'INPUT DATA'!L49</f>
        <v/>
      </c>
      <c r="C51" s="673" t="n"/>
      <c r="D51" s="673" t="n"/>
      <c r="E51" s="674" t="n"/>
      <c r="F51" s="52" t="n"/>
      <c r="G51" s="49" t="n"/>
      <c r="H51" s="49" t="n"/>
      <c r="I51" s="49" t="n"/>
      <c r="J51" s="49" t="n"/>
      <c r="K51" s="48">
        <f>IF(COUNT($F51:$J51)=0,"",SUM($F51:$J51))</f>
        <v/>
      </c>
      <c r="L51" s="47">
        <f>IFERROR(IF(K51="","",ROUND(K51/$K$11*100,2)),"")</f>
        <v/>
      </c>
      <c r="M51" s="54">
        <f>IFERROR(IF(L51="","",ROUND(L51*$M$11,2)),"")</f>
        <v/>
      </c>
      <c r="N51" s="52" t="n"/>
      <c r="O51" s="49" t="n"/>
      <c r="P51" s="49" t="n"/>
      <c r="Q51" s="48">
        <f>IF(COUNT($N51:$P51)=0,"",SUM($N51:$P51))</f>
        <v/>
      </c>
      <c r="R51" s="47">
        <f>IFERROR(IF(Q51="","",ROUND(Q51/$Q$11*100,2)),"")</f>
        <v/>
      </c>
      <c r="S51" s="54">
        <f>IFERROR(IF(R51="","",ROUND(R51*$S$11,2)),"")</f>
        <v/>
      </c>
      <c r="T51" s="265" t="n"/>
      <c r="U51" s="46" t="n"/>
      <c r="V51" s="268" t="n"/>
      <c r="W51" s="272">
        <f>IF(COUNT($T51:$V51)=0,"",SUM($T51:$V51))</f>
        <v/>
      </c>
      <c r="X51" s="352">
        <f>IFERROR(IF(W51="","",ROUND((($T51/$T$11)*30 + ($U51/$U$11)*30 + ($V51/$V$11)*40),2)),"")</f>
        <v/>
      </c>
      <c r="Y51" s="54">
        <f>IFERROR(IF(X51="","",ROUND(X51*$Y$11,2)),"")</f>
        <v/>
      </c>
      <c r="Z51" s="55">
        <f>IFERROR(M51+S51+Y51,"")</f>
        <v/>
      </c>
      <c r="AA51" s="274">
        <f>IFERROR(VLOOKUP(Z51,'Helper(IMPORTANT!)'!$CQ$1:$CR$41,2,TRUE),"")</f>
        <v/>
      </c>
      <c r="AB51" s="170">
        <f t="array" ref="AB51">IF(AA51="", "", _xlfn.IFS(AA51&gt;=90, "A", AA51&gt;=80, "B", AA51&gt;=75, "C", AA51&gt;=65, "D", AA51&gt;=0, "E"))</f>
        <v/>
      </c>
      <c r="AD51" s="39" t="n"/>
      <c r="AG51" s="38" t="n"/>
      <c r="AH51" s="38" t="n"/>
      <c r="AI51" s="38" t="n"/>
    </row>
    <row r="52" ht="18" customHeight="1">
      <c r="A52" s="169" t="n">
        <v>40</v>
      </c>
      <c r="B52" s="442">
        <f>'INPUT DATA'!L50</f>
        <v/>
      </c>
      <c r="C52" s="673" t="n"/>
      <c r="D52" s="673" t="n"/>
      <c r="E52" s="674" t="n"/>
      <c r="F52" s="52" t="n"/>
      <c r="G52" s="49" t="n"/>
      <c r="H52" s="49" t="n"/>
      <c r="I52" s="49" t="n"/>
      <c r="J52" s="49" t="n"/>
      <c r="K52" s="48">
        <f>IF(COUNT($F52:$J52)=0,"",SUM($F52:$J52))</f>
        <v/>
      </c>
      <c r="L52" s="47">
        <f>IFERROR(IF(K52="","",ROUND(K52/$K$11*100,2)),"")</f>
        <v/>
      </c>
      <c r="M52" s="54">
        <f>IFERROR(IF(L52="","",ROUND(L52*$M$11,2)),"")</f>
        <v/>
      </c>
      <c r="N52" s="52" t="n"/>
      <c r="O52" s="49" t="n"/>
      <c r="P52" s="49" t="n"/>
      <c r="Q52" s="48">
        <f>IF(COUNT($N52:$P52)=0,"",SUM($N52:$P52))</f>
        <v/>
      </c>
      <c r="R52" s="47">
        <f>IFERROR(IF(Q52="","",ROUND(Q52/$Q$11*100,2)),"")</f>
        <v/>
      </c>
      <c r="S52" s="54">
        <f>IFERROR(IF(R52="","",ROUND(R52*$S$11,2)),"")</f>
        <v/>
      </c>
      <c r="T52" s="265" t="n"/>
      <c r="U52" s="46" t="n"/>
      <c r="V52" s="268" t="n"/>
      <c r="W52" s="272">
        <f>IF(COUNT($T52:$V52)=0,"",SUM($T52:$V52))</f>
        <v/>
      </c>
      <c r="X52" s="352">
        <f>IFERROR(IF(W52="","",ROUND((($T52/$T$11)*30 + ($U52/$U$11)*30 + ($V52/$V$11)*40),2)),"")</f>
        <v/>
      </c>
      <c r="Y52" s="54">
        <f>IFERROR(IF(X52="","",ROUND(X52*$Y$11,2)),"")</f>
        <v/>
      </c>
      <c r="Z52" s="55">
        <f>IFERROR(M52+S52+Y52,"")</f>
        <v/>
      </c>
      <c r="AA52" s="274">
        <f>IFERROR(VLOOKUP(Z52,'Helper(IMPORTANT!)'!$CQ$1:$CR$41,2,TRUE),"")</f>
        <v/>
      </c>
      <c r="AB52" s="170">
        <f t="array" ref="AB52">IF(AA52="", "", _xlfn.IFS(AA52&gt;=90, "A", AA52&gt;=80, "B", AA52&gt;=75, "C", AA52&gt;=65, "D", AA52&gt;=0, "E"))</f>
        <v/>
      </c>
      <c r="AD52" s="39" t="n"/>
      <c r="AG52" s="38" t="n"/>
      <c r="AH52" s="38" t="n"/>
      <c r="AI52" s="38" t="n"/>
    </row>
    <row r="53" ht="18" customHeight="1">
      <c r="A53" s="169" t="n">
        <v>41</v>
      </c>
      <c r="B53" s="442">
        <f>'INPUT DATA'!L51</f>
        <v/>
      </c>
      <c r="C53" s="673" t="n"/>
      <c r="D53" s="673" t="n"/>
      <c r="E53" s="674" t="n"/>
      <c r="F53" s="52" t="n"/>
      <c r="G53" s="49" t="n"/>
      <c r="H53" s="49" t="n"/>
      <c r="I53" s="49" t="n"/>
      <c r="J53" s="49" t="n"/>
      <c r="K53" s="48">
        <f>IF(COUNT($F53:$J53)=0,"",SUM($F53:$J53))</f>
        <v/>
      </c>
      <c r="L53" s="47">
        <f>IFERROR(IF(K53="","",ROUND(K53/$K$11*100,2)),"")</f>
        <v/>
      </c>
      <c r="M53" s="54">
        <f>IFERROR(IF(L53="","",ROUND(L53*$M$11,2)),"")</f>
        <v/>
      </c>
      <c r="N53" s="52" t="n"/>
      <c r="O53" s="49" t="n"/>
      <c r="P53" s="49" t="n"/>
      <c r="Q53" s="48">
        <f>IF(COUNT($N53:$P53)=0,"",SUM($N53:$P53))</f>
        <v/>
      </c>
      <c r="R53" s="47">
        <f>IFERROR(IF(Q53="","",ROUND(Q53/$Q$11*100,2)),"")</f>
        <v/>
      </c>
      <c r="S53" s="54">
        <f>IFERROR(IF(R53="","",ROUND(R53*$S$11,2)),"")</f>
        <v/>
      </c>
      <c r="T53" s="265" t="n"/>
      <c r="U53" s="46" t="n"/>
      <c r="V53" s="268" t="n"/>
      <c r="W53" s="272">
        <f>IF(COUNT($T53:$V53)=0,"",SUM($T53:$V53))</f>
        <v/>
      </c>
      <c r="X53" s="352">
        <f>IFERROR(IF(W53="","",ROUND((($T53/$T$11)*30 + ($U53/$U$11)*30 + ($V53/$V$11)*40),2)),"")</f>
        <v/>
      </c>
      <c r="Y53" s="54">
        <f>IFERROR(IF(X53="","",ROUND(X53*$Y$11,2)),"")</f>
        <v/>
      </c>
      <c r="Z53" s="55">
        <f>IFERROR(M53+S53+Y53,"")</f>
        <v/>
      </c>
      <c r="AA53" s="274">
        <f>IFERROR(VLOOKUP(Z53,'Helper(IMPORTANT!)'!$CQ$1:$CR$41,2,TRUE),"")</f>
        <v/>
      </c>
      <c r="AB53" s="170">
        <f t="array" ref="AB53">IF(AA53="", "", _xlfn.IFS(AA53&gt;=90, "A", AA53&gt;=80, "B", AA53&gt;=75, "C", AA53&gt;=65, "D", AA53&gt;=0, "E"))</f>
        <v/>
      </c>
      <c r="AD53" s="39" t="n"/>
      <c r="AG53" s="38" t="n"/>
      <c r="AH53" s="38" t="n"/>
      <c r="AI53" s="38" t="n"/>
    </row>
    <row r="54" ht="18" customHeight="1">
      <c r="A54" s="169" t="n">
        <v>42</v>
      </c>
      <c r="B54" s="442">
        <f>'INPUT DATA'!L52</f>
        <v/>
      </c>
      <c r="C54" s="673" t="n"/>
      <c r="D54" s="673" t="n"/>
      <c r="E54" s="674" t="n"/>
      <c r="F54" s="52" t="n"/>
      <c r="G54" s="49" t="n"/>
      <c r="H54" s="49" t="n"/>
      <c r="I54" s="49" t="n"/>
      <c r="J54" s="49" t="n"/>
      <c r="K54" s="48">
        <f>IF(COUNT($F54:$J54)=0,"",SUM($F54:$J54))</f>
        <v/>
      </c>
      <c r="L54" s="47">
        <f>IFERROR(IF(K54="","",ROUND(K54/$K$11*100,2)),"")</f>
        <v/>
      </c>
      <c r="M54" s="54">
        <f>IFERROR(IF(L54="","",ROUND(L54*$M$11,2)),"")</f>
        <v/>
      </c>
      <c r="N54" s="52" t="n"/>
      <c r="O54" s="49" t="n"/>
      <c r="P54" s="49" t="n"/>
      <c r="Q54" s="48">
        <f>IF(COUNT($N54:$P54)=0,"",SUM($N54:$P54))</f>
        <v/>
      </c>
      <c r="R54" s="47">
        <f>IFERROR(IF(Q54="","",ROUND(Q54/$Q$11*100,2)),"")</f>
        <v/>
      </c>
      <c r="S54" s="54">
        <f>IFERROR(IF(R54="","",ROUND(R54*$S$11,2)),"")</f>
        <v/>
      </c>
      <c r="T54" s="265" t="n"/>
      <c r="U54" s="46" t="n"/>
      <c r="V54" s="268" t="n"/>
      <c r="W54" s="272">
        <f>IF(COUNT($T54:$V54)=0,"",SUM($T54:$V54))</f>
        <v/>
      </c>
      <c r="X54" s="352">
        <f>IFERROR(IF(W54="","",ROUND((($T54/$T$11)*30 + ($U54/$U$11)*30 + ($V54/$V$11)*40),2)),"")</f>
        <v/>
      </c>
      <c r="Y54" s="54">
        <f>IFERROR(IF(X54="","",ROUND(X54*$Y$11,2)),"")</f>
        <v/>
      </c>
      <c r="Z54" s="55">
        <f>IFERROR(M54+S54+Y54,"")</f>
        <v/>
      </c>
      <c r="AA54" s="274">
        <f>IFERROR(VLOOKUP(Z54,'Helper(IMPORTANT!)'!$CQ$1:$CR$41,2,TRUE),"")</f>
        <v/>
      </c>
      <c r="AB54" s="170">
        <f t="array" ref="AB54">IF(AA54="", "", _xlfn.IFS(AA54&gt;=90, "A", AA54&gt;=80, "B", AA54&gt;=75, "C", AA54&gt;=65, "D", AA54&gt;=0, "E"))</f>
        <v/>
      </c>
      <c r="AD54" s="39" t="n"/>
      <c r="AG54" s="38" t="n"/>
      <c r="AH54" s="38" t="n"/>
      <c r="AI54" s="38" t="n"/>
    </row>
    <row r="55" ht="18" customHeight="1">
      <c r="A55" s="169" t="n">
        <v>43</v>
      </c>
      <c r="B55" s="442">
        <f>'INPUT DATA'!L53</f>
        <v/>
      </c>
      <c r="C55" s="673" t="n"/>
      <c r="D55" s="673" t="n"/>
      <c r="E55" s="674" t="n"/>
      <c r="F55" s="52" t="n"/>
      <c r="G55" s="49" t="n"/>
      <c r="H55" s="49" t="n"/>
      <c r="I55" s="49" t="n"/>
      <c r="J55" s="49" t="n"/>
      <c r="K55" s="48">
        <f>IF(COUNT($F55:$J55)=0,"",SUM($F55:$J55))</f>
        <v/>
      </c>
      <c r="L55" s="47">
        <f>IFERROR(IF(K55="","",ROUND(K55/$K$11*100,2)),"")</f>
        <v/>
      </c>
      <c r="M55" s="54">
        <f>IFERROR(IF(L55="","",ROUND(L55*$M$11,2)),"")</f>
        <v/>
      </c>
      <c r="N55" s="52" t="n"/>
      <c r="O55" s="49" t="n"/>
      <c r="P55" s="49" t="n"/>
      <c r="Q55" s="48">
        <f>IF(COUNT($N55:$P55)=0,"",SUM($N55:$P55))</f>
        <v/>
      </c>
      <c r="R55" s="47">
        <f>IFERROR(IF(Q55="","",ROUND(Q55/$Q$11*100,2)),"")</f>
        <v/>
      </c>
      <c r="S55" s="54">
        <f>IFERROR(IF(R55="","",ROUND(R55*$S$11,2)),"")</f>
        <v/>
      </c>
      <c r="T55" s="265" t="n"/>
      <c r="U55" s="46" t="n"/>
      <c r="V55" s="268" t="n"/>
      <c r="W55" s="272">
        <f>IF(COUNT($T55:$V55)=0,"",SUM($T55:$V55))</f>
        <v/>
      </c>
      <c r="X55" s="352">
        <f>IFERROR(IF(W55="","",ROUND((($T55/$T$11)*30 + ($U55/$U$11)*30 + ($V55/$V$11)*40),2)),"")</f>
        <v/>
      </c>
      <c r="Y55" s="54">
        <f>IFERROR(IF(X55="","",ROUND(X55*$Y$11,2)),"")</f>
        <v/>
      </c>
      <c r="Z55" s="55">
        <f>IFERROR(M55+S55+Y55,"")</f>
        <v/>
      </c>
      <c r="AA55" s="274">
        <f>IFERROR(VLOOKUP(Z55,'Helper(IMPORTANT!)'!$CQ$1:$CR$41,2,TRUE),"")</f>
        <v/>
      </c>
      <c r="AB55" s="170">
        <f t="array" ref="AB55">IF(AA55="", "", _xlfn.IFS(AA55&gt;=90, "A", AA55&gt;=80, "B", AA55&gt;=75, "C", AA55&gt;=65, "D", AA55&gt;=0, "E"))</f>
        <v/>
      </c>
      <c r="AD55" s="39" t="n"/>
      <c r="AG55" s="38" t="n"/>
      <c r="AH55" s="38" t="n"/>
      <c r="AI55" s="38" t="n"/>
    </row>
    <row r="56" ht="18" customHeight="1">
      <c r="A56" s="169" t="n">
        <v>44</v>
      </c>
      <c r="B56" s="442">
        <f>'INPUT DATA'!L54</f>
        <v/>
      </c>
      <c r="C56" s="673" t="n"/>
      <c r="D56" s="673" t="n"/>
      <c r="E56" s="674" t="n"/>
      <c r="F56" s="52" t="n"/>
      <c r="G56" s="49" t="n"/>
      <c r="H56" s="49" t="n"/>
      <c r="I56" s="49" t="n"/>
      <c r="J56" s="49" t="n"/>
      <c r="K56" s="48">
        <f>IF(COUNT($F56:$J56)=0,"",SUM($F56:$J56))</f>
        <v/>
      </c>
      <c r="L56" s="47">
        <f>IFERROR(IF(K56="","",ROUND(K56/$K$11*100,2)),"")</f>
        <v/>
      </c>
      <c r="M56" s="54">
        <f>IFERROR(IF(L56="","",ROUND(L56*$M$11,2)),"")</f>
        <v/>
      </c>
      <c r="N56" s="52" t="n"/>
      <c r="O56" s="49" t="n"/>
      <c r="P56" s="49" t="n"/>
      <c r="Q56" s="48">
        <f>IF(COUNT($N56:$P56)=0,"",SUM($N56:$P56))</f>
        <v/>
      </c>
      <c r="R56" s="47">
        <f>IFERROR(IF(Q56="","",ROUND(Q56/$Q$11*100,2)),"")</f>
        <v/>
      </c>
      <c r="S56" s="54">
        <f>IFERROR(IF(R56="","",ROUND(R56*$S$11,2)),"")</f>
        <v/>
      </c>
      <c r="T56" s="265" t="n"/>
      <c r="U56" s="46" t="n"/>
      <c r="V56" s="268" t="n"/>
      <c r="W56" s="272">
        <f>IF(COUNT($T56:$V56)=0,"",SUM($T56:$V56))</f>
        <v/>
      </c>
      <c r="X56" s="352">
        <f>IFERROR(IF(W56="","",ROUND((($T56/$T$11)*30 + ($U56/$U$11)*30 + ($V56/$V$11)*40),2)),"")</f>
        <v/>
      </c>
      <c r="Y56" s="54">
        <f>IFERROR(IF(X56="","",ROUND(X56*$Y$11,2)),"")</f>
        <v/>
      </c>
      <c r="Z56" s="55">
        <f>IFERROR(M56+S56+Y56,"")</f>
        <v/>
      </c>
      <c r="AA56" s="274">
        <f>IFERROR(VLOOKUP(Z56,'Helper(IMPORTANT!)'!$CQ$1:$CR$41,2,TRUE),"")</f>
        <v/>
      </c>
      <c r="AB56" s="170">
        <f t="array" ref="AB56">IF(AA56="", "", _xlfn.IFS(AA56&gt;=90, "A", AA56&gt;=80, "B", AA56&gt;=75, "C", AA56&gt;=65, "D", AA56&gt;=0, "E"))</f>
        <v/>
      </c>
      <c r="AD56" s="39" t="n"/>
      <c r="AG56" s="38" t="n"/>
      <c r="AH56" s="38" t="n"/>
      <c r="AI56" s="38" t="n"/>
    </row>
    <row r="57" ht="18" customHeight="1">
      <c r="A57" s="169" t="n">
        <v>45</v>
      </c>
      <c r="B57" s="442">
        <f>'INPUT DATA'!L55</f>
        <v/>
      </c>
      <c r="C57" s="673" t="n"/>
      <c r="D57" s="673" t="n"/>
      <c r="E57" s="674" t="n"/>
      <c r="F57" s="52" t="n"/>
      <c r="G57" s="49" t="n"/>
      <c r="H57" s="49" t="n"/>
      <c r="I57" s="49" t="n"/>
      <c r="J57" s="49" t="n"/>
      <c r="K57" s="48">
        <f>IF(COUNT($F57:$J57)=0,"",SUM($F57:$J57))</f>
        <v/>
      </c>
      <c r="L57" s="47">
        <f>IFERROR(IF(K57="","",ROUND(K57/$K$11*100,2)),"")</f>
        <v/>
      </c>
      <c r="M57" s="54">
        <f>IFERROR(IF(L57="","",ROUND(L57*$M$11,2)),"")</f>
        <v/>
      </c>
      <c r="N57" s="52" t="n"/>
      <c r="O57" s="49" t="n"/>
      <c r="P57" s="49" t="n"/>
      <c r="Q57" s="48">
        <f>IF(COUNT($N57:$P57)=0,"",SUM($N57:$P57))</f>
        <v/>
      </c>
      <c r="R57" s="47">
        <f>IFERROR(IF(Q57="","",ROUND(Q57/$Q$11*100,2)),"")</f>
        <v/>
      </c>
      <c r="S57" s="54">
        <f>IFERROR(IF(R57="","",ROUND(R57*$S$11,2)),"")</f>
        <v/>
      </c>
      <c r="T57" s="265" t="n"/>
      <c r="U57" s="46" t="n"/>
      <c r="V57" s="268" t="n"/>
      <c r="W57" s="272">
        <f>IF(COUNT($T57:$V57)=0,"",SUM($T57:$V57))</f>
        <v/>
      </c>
      <c r="X57" s="352">
        <f>IFERROR(IF(W57="","",ROUND((($T57/$T$11)*30 + ($U57/$U$11)*30 + ($V57/$V$11)*40),2)),"")</f>
        <v/>
      </c>
      <c r="Y57" s="54">
        <f>IFERROR(IF(X57="","",ROUND(X57*$Y$11,2)),"")</f>
        <v/>
      </c>
      <c r="Z57" s="55">
        <f>IFERROR(M57+S57+Y57,"")</f>
        <v/>
      </c>
      <c r="AA57" s="274">
        <f>IFERROR(VLOOKUP(Z57,'Helper(IMPORTANT!)'!$CQ$1:$CR$41,2,TRUE),"")</f>
        <v/>
      </c>
      <c r="AB57" s="170">
        <f t="array" ref="AB57">IF(AA57="", "", _xlfn.IFS(AA57&gt;=90, "A", AA57&gt;=80, "B", AA57&gt;=75, "C", AA57&gt;=65, "D", AA57&gt;=0, "E"))</f>
        <v/>
      </c>
      <c r="AD57" s="39" t="n"/>
      <c r="AG57" s="38" t="n"/>
      <c r="AH57" s="38" t="n"/>
      <c r="AI57" s="38" t="n"/>
    </row>
    <row r="58" ht="18" customHeight="1">
      <c r="A58" s="169" t="n">
        <v>46</v>
      </c>
      <c r="B58" s="442">
        <f>'INPUT DATA'!L56</f>
        <v/>
      </c>
      <c r="C58" s="673" t="n"/>
      <c r="D58" s="673" t="n"/>
      <c r="E58" s="674" t="n"/>
      <c r="F58" s="52" t="n"/>
      <c r="G58" s="49" t="n"/>
      <c r="H58" s="49" t="n"/>
      <c r="I58" s="49" t="n"/>
      <c r="J58" s="49" t="n"/>
      <c r="K58" s="48">
        <f>IF(COUNT($F58:$J58)=0,"",SUM($F58:$J58))</f>
        <v/>
      </c>
      <c r="L58" s="47">
        <f>IFERROR(IF(K58="","",ROUND(K58/$K$11*100,2)),"")</f>
        <v/>
      </c>
      <c r="M58" s="54">
        <f>IFERROR(IF(L58="","",ROUND(L58*$M$11,2)),"")</f>
        <v/>
      </c>
      <c r="N58" s="52" t="n"/>
      <c r="O58" s="49" t="n"/>
      <c r="P58" s="49" t="n"/>
      <c r="Q58" s="48">
        <f>IF(COUNT($N58:$P58)=0,"",SUM($N58:$P58))</f>
        <v/>
      </c>
      <c r="R58" s="47">
        <f>IFERROR(IF(Q58="","",ROUND(Q58/$Q$11*100,2)),"")</f>
        <v/>
      </c>
      <c r="S58" s="54">
        <f>IFERROR(IF(R58="","",ROUND(R58*$S$11,2)),"")</f>
        <v/>
      </c>
      <c r="T58" s="265" t="n"/>
      <c r="U58" s="46" t="n"/>
      <c r="V58" s="268" t="n"/>
      <c r="W58" s="272">
        <f>IF(COUNT($T58:$V58)=0,"",SUM($T58:$V58))</f>
        <v/>
      </c>
      <c r="X58" s="352">
        <f>IFERROR(IF(W58="","",ROUND((($T58/$T$11)*30 + ($U58/$U$11)*30 + ($V58/$V$11)*40),2)),"")</f>
        <v/>
      </c>
      <c r="Y58" s="54">
        <f>IFERROR(IF(X58="","",ROUND(X58*$Y$11,2)),"")</f>
        <v/>
      </c>
      <c r="Z58" s="55">
        <f>IFERROR(M58+S58+Y58,"")</f>
        <v/>
      </c>
      <c r="AA58" s="274">
        <f>IFERROR(VLOOKUP(Z58,'Helper(IMPORTANT!)'!$CQ$1:$CR$41,2,TRUE),"")</f>
        <v/>
      </c>
      <c r="AB58" s="170">
        <f t="array" ref="AB58">IF(AA58="", "", _xlfn.IFS(AA58&gt;=90, "A", AA58&gt;=80, "B", AA58&gt;=75, "C", AA58&gt;=65, "D", AA58&gt;=0, "E"))</f>
        <v/>
      </c>
      <c r="AD58" s="39" t="n"/>
      <c r="AG58" s="38" t="n"/>
      <c r="AH58" s="38" t="n"/>
      <c r="AI58" s="38" t="n"/>
    </row>
    <row r="59" ht="18" customHeight="1">
      <c r="A59" s="169" t="n">
        <v>47</v>
      </c>
      <c r="B59" s="442">
        <f>'INPUT DATA'!L57</f>
        <v/>
      </c>
      <c r="C59" s="673" t="n"/>
      <c r="D59" s="673" t="n"/>
      <c r="E59" s="674" t="n"/>
      <c r="F59" s="52" t="n"/>
      <c r="G59" s="49" t="n"/>
      <c r="H59" s="49" t="n"/>
      <c r="I59" s="49" t="n"/>
      <c r="J59" s="49" t="n"/>
      <c r="K59" s="48">
        <f>IF(COUNT($F59:$J59)=0,"",SUM($F59:$J59))</f>
        <v/>
      </c>
      <c r="L59" s="47">
        <f>IFERROR(IF(K59="","",ROUND(K59/$K$11*100,2)),"")</f>
        <v/>
      </c>
      <c r="M59" s="54">
        <f>IFERROR(IF(L59="","",ROUND(L59*$M$11,2)),"")</f>
        <v/>
      </c>
      <c r="N59" s="52" t="n"/>
      <c r="O59" s="49" t="n"/>
      <c r="P59" s="49" t="n"/>
      <c r="Q59" s="48">
        <f>IF(COUNT($N59:$P59)=0,"",SUM($N59:$P59))</f>
        <v/>
      </c>
      <c r="R59" s="47">
        <f>IFERROR(IF(Q59="","",ROUND(Q59/$Q$11*100,2)),"")</f>
        <v/>
      </c>
      <c r="S59" s="54">
        <f>IFERROR(IF(R59="","",ROUND(R59*$S$11,2)),"")</f>
        <v/>
      </c>
      <c r="T59" s="265" t="n"/>
      <c r="U59" s="46" t="n"/>
      <c r="V59" s="268" t="n"/>
      <c r="W59" s="272">
        <f>IF(COUNT($T59:$V59)=0,"",SUM($T59:$V59))</f>
        <v/>
      </c>
      <c r="X59" s="352">
        <f>IFERROR(IF(W59="","",ROUND((($T59/$T$11)*30 + ($U59/$U$11)*30 + ($V59/$V$11)*40),2)),"")</f>
        <v/>
      </c>
      <c r="Y59" s="54">
        <f>IFERROR(IF(X59="","",ROUND(X59*$Y$11,2)),"")</f>
        <v/>
      </c>
      <c r="Z59" s="55">
        <f>IFERROR(M59+S59+Y59,"")</f>
        <v/>
      </c>
      <c r="AA59" s="274">
        <f>IFERROR(VLOOKUP(Z59,'Helper(IMPORTANT!)'!$CQ$1:$CR$41,2,TRUE),"")</f>
        <v/>
      </c>
      <c r="AB59" s="170">
        <f t="array" ref="AB59">IF(AA59="", "", _xlfn.IFS(AA59&gt;=90, "A", AA59&gt;=80, "B", AA59&gt;=75, "C", AA59&gt;=65, "D", AA59&gt;=0, "E"))</f>
        <v/>
      </c>
      <c r="AD59" s="39" t="n"/>
      <c r="AG59" s="38" t="n"/>
      <c r="AH59" s="38" t="n"/>
      <c r="AI59" s="38" t="n"/>
    </row>
    <row r="60" ht="18" customHeight="1">
      <c r="A60" s="169" t="n">
        <v>48</v>
      </c>
      <c r="B60" s="442">
        <f>'INPUT DATA'!L58</f>
        <v/>
      </c>
      <c r="C60" s="673" t="n"/>
      <c r="D60" s="673" t="n"/>
      <c r="E60" s="674" t="n"/>
      <c r="F60" s="52" t="n"/>
      <c r="G60" s="49" t="n"/>
      <c r="H60" s="49" t="n"/>
      <c r="I60" s="49" t="n"/>
      <c r="J60" s="49" t="n"/>
      <c r="K60" s="48">
        <f>IF(COUNT($F60:$J60)=0,"",SUM($F60:$J60))</f>
        <v/>
      </c>
      <c r="L60" s="47">
        <f>IFERROR(IF(K60="","",ROUND(K60/$K$11*100,2)),"")</f>
        <v/>
      </c>
      <c r="M60" s="54">
        <f>IFERROR(IF(L60="","",ROUND(L60*$M$11,2)),"")</f>
        <v/>
      </c>
      <c r="N60" s="52" t="n"/>
      <c r="O60" s="49" t="n"/>
      <c r="P60" s="49" t="n"/>
      <c r="Q60" s="48">
        <f>IF(COUNT($N60:$P60)=0,"",SUM($N60:$P60))</f>
        <v/>
      </c>
      <c r="R60" s="47">
        <f>IFERROR(IF(Q60="","",ROUND(Q60/$Q$11*100,2)),"")</f>
        <v/>
      </c>
      <c r="S60" s="54">
        <f>IFERROR(IF(R60="","",ROUND(R60*$S$11,2)),"")</f>
        <v/>
      </c>
      <c r="T60" s="265" t="n"/>
      <c r="U60" s="46" t="n"/>
      <c r="V60" s="268" t="n"/>
      <c r="W60" s="272">
        <f>IF(COUNT($T60:$V60)=0,"",SUM($T60:$V60))</f>
        <v/>
      </c>
      <c r="X60" s="352">
        <f>IFERROR(IF(W60="","",ROUND((($T60/$T$11)*30 + ($U60/$U$11)*30 + ($V60/$V$11)*40),2)),"")</f>
        <v/>
      </c>
      <c r="Y60" s="54">
        <f>IFERROR(IF(X60="","",ROUND(X60*$Y$11,2)),"")</f>
        <v/>
      </c>
      <c r="Z60" s="55">
        <f>IFERROR(M60+S60+Y60,"")</f>
        <v/>
      </c>
      <c r="AA60" s="274">
        <f>IFERROR(VLOOKUP(Z60,'Helper(IMPORTANT!)'!$CQ$1:$CR$41,2,TRUE),"")</f>
        <v/>
      </c>
      <c r="AB60" s="170">
        <f t="array" ref="AB60">IF(AA60="", "", _xlfn.IFS(AA60&gt;=90, "A", AA60&gt;=80, "B", AA60&gt;=75, "C", AA60&gt;=65, "D", AA60&gt;=0, "E"))</f>
        <v/>
      </c>
      <c r="AD60" s="39" t="n"/>
      <c r="AG60" s="38" t="n"/>
      <c r="AH60" s="38" t="n"/>
      <c r="AI60" s="38" t="n"/>
    </row>
    <row r="61" ht="18" customHeight="1">
      <c r="A61" s="169" t="n">
        <v>49</v>
      </c>
      <c r="B61" s="442">
        <f>'INPUT DATA'!L59</f>
        <v/>
      </c>
      <c r="C61" s="673" t="n"/>
      <c r="D61" s="673" t="n"/>
      <c r="E61" s="674" t="n"/>
      <c r="F61" s="52" t="n"/>
      <c r="G61" s="49" t="n"/>
      <c r="H61" s="49" t="n"/>
      <c r="I61" s="49" t="n"/>
      <c r="J61" s="49" t="n"/>
      <c r="K61" s="48">
        <f>IF(COUNT($F61:$J61)=0,"",SUM($F61:$J61))</f>
        <v/>
      </c>
      <c r="L61" s="47">
        <f>IFERROR(IF(K61="","",ROUND(K61/$K$11*100,2)),"")</f>
        <v/>
      </c>
      <c r="M61" s="54">
        <f>IFERROR(IF(L61="","",ROUND(L61*$M$11,2)),"")</f>
        <v/>
      </c>
      <c r="N61" s="52" t="n"/>
      <c r="O61" s="49" t="n"/>
      <c r="P61" s="49" t="n"/>
      <c r="Q61" s="48">
        <f>IF(COUNT($N61:$P61)=0,"",SUM($N61:$P61))</f>
        <v/>
      </c>
      <c r="R61" s="47">
        <f>IFERROR(IF(Q61="","",ROUND(Q61/$Q$11*100,2)),"")</f>
        <v/>
      </c>
      <c r="S61" s="54">
        <f>IFERROR(IF(R61="","",ROUND(R61*$S$11,2)),"")</f>
        <v/>
      </c>
      <c r="T61" s="265" t="n"/>
      <c r="U61" s="46" t="n"/>
      <c r="V61" s="268" t="n"/>
      <c r="W61" s="272">
        <f>IF(COUNT($T61:$V61)=0,"",SUM($T61:$V61))</f>
        <v/>
      </c>
      <c r="X61" s="352">
        <f>IFERROR(IF(W61="","",ROUND((($T61/$T$11)*30 + ($U61/$U$11)*30 + ($V61/$V$11)*40),2)),"")</f>
        <v/>
      </c>
      <c r="Y61" s="54">
        <f>IFERROR(IF(X61="","",ROUND(X61*$Y$11,2)),"")</f>
        <v/>
      </c>
      <c r="Z61" s="55">
        <f>IFERROR(M61+S61+Y61,"")</f>
        <v/>
      </c>
      <c r="AA61" s="274">
        <f>IFERROR(VLOOKUP(Z61,'Helper(IMPORTANT!)'!$CQ$1:$CR$41,2,TRUE),"")</f>
        <v/>
      </c>
      <c r="AB61" s="170">
        <f t="array" ref="AB61">IF(AA61="", "", _xlfn.IFS(AA61&gt;=90, "A", AA61&gt;=80, "B", AA61&gt;=75, "C", AA61&gt;=65, "D", AA61&gt;=0, "E"))</f>
        <v/>
      </c>
      <c r="AD61" s="39" t="n"/>
      <c r="AG61" s="38" t="n"/>
      <c r="AH61" s="38" t="n"/>
      <c r="AI61" s="38" t="n"/>
    </row>
    <row r="62" ht="18" customHeight="1">
      <c r="A62" s="171" t="n">
        <v>50</v>
      </c>
      <c r="B62" s="442">
        <f>'INPUT DATA'!L60</f>
        <v/>
      </c>
      <c r="C62" s="673" t="n"/>
      <c r="D62" s="673" t="n"/>
      <c r="E62" s="674" t="n"/>
      <c r="F62" s="52" t="n"/>
      <c r="G62" s="49" t="n"/>
      <c r="H62" s="49" t="n"/>
      <c r="I62" s="49" t="n"/>
      <c r="J62" s="49" t="n"/>
      <c r="K62" s="48">
        <f>IF(COUNT($F62:$J62)=0,"",SUM($F62:$J62))</f>
        <v/>
      </c>
      <c r="L62" s="47">
        <f>IFERROR(IF(K62="","",ROUND(K62/$K$11*100,2)),"")</f>
        <v/>
      </c>
      <c r="M62" s="54">
        <f>IFERROR(IF(L62="","",ROUND(L62*$M$11,2)),"")</f>
        <v/>
      </c>
      <c r="N62" s="52" t="n"/>
      <c r="O62" s="49" t="n"/>
      <c r="P62" s="49" t="n"/>
      <c r="Q62" s="48">
        <f>IF(COUNT($N62:$P62)=0,"",SUM($N62:$P62))</f>
        <v/>
      </c>
      <c r="R62" s="47">
        <f>IFERROR(IF(Q62="","",ROUND(Q62/$Q$11*100,2)),"")</f>
        <v/>
      </c>
      <c r="S62" s="54">
        <f>IFERROR(IF(R62="","",ROUND(R62*$S$11,2)),"")</f>
        <v/>
      </c>
      <c r="T62" s="265" t="n"/>
      <c r="U62" s="46" t="n"/>
      <c r="V62" s="268" t="n"/>
      <c r="W62" s="272">
        <f>IF(COUNT($T62:$V62)=0,"",SUM($T62:$V62))</f>
        <v/>
      </c>
      <c r="X62" s="352">
        <f>IFERROR(IF(W62="","",ROUND((($T62/$T$11)*30 + ($U62/$U$11)*30 + ($V62/$V$11)*40),2)),"")</f>
        <v/>
      </c>
      <c r="Y62" s="54">
        <f>IFERROR(IF(X62="","",ROUND(X62*$Y$11,2)),"")</f>
        <v/>
      </c>
      <c r="Z62" s="55">
        <f>IFERROR(M62+S62+Y62,"")</f>
        <v/>
      </c>
      <c r="AA62" s="274">
        <f>IFERROR(VLOOKUP(Z62,'Helper(IMPORTANT!)'!$CQ$1:$CR$41,2,TRUE),"")</f>
        <v/>
      </c>
      <c r="AB62" s="170">
        <f t="array" ref="AB62">IF(AA62="", "", _xlfn.IFS(AA62&gt;=90, "A", AA62&gt;=80, "B", AA62&gt;=75, "C", AA62&gt;=65, "D", AA62&gt;=0, "E"))</f>
        <v/>
      </c>
      <c r="AD62" s="39" t="n"/>
      <c r="AG62" s="38" t="n"/>
      <c r="AH62" s="38" t="n"/>
      <c r="AI62" s="38" t="n"/>
    </row>
    <row r="63" ht="18" customHeight="1">
      <c r="A63" s="675" t="inlineStr">
        <is>
          <t>FEMALE</t>
        </is>
      </c>
      <c r="B63" s="649" t="n"/>
      <c r="C63" s="649" t="n"/>
      <c r="D63" s="649" t="n"/>
      <c r="E63" s="649" t="n"/>
      <c r="F63" s="649" t="n"/>
      <c r="G63" s="649" t="n"/>
      <c r="H63" s="649" t="n"/>
      <c r="I63" s="649" t="n"/>
      <c r="J63" s="649" t="n"/>
      <c r="K63" s="649" t="n"/>
      <c r="L63" s="649" t="n"/>
      <c r="M63" s="649" t="n"/>
      <c r="N63" s="649" t="n"/>
      <c r="O63" s="649" t="n"/>
      <c r="P63" s="649" t="n"/>
      <c r="Q63" s="649" t="n"/>
      <c r="R63" s="649" t="n"/>
      <c r="S63" s="649" t="n"/>
      <c r="T63" s="649" t="n"/>
      <c r="U63" s="649" t="n"/>
      <c r="V63" s="649" t="n"/>
      <c r="W63" s="649" t="n"/>
      <c r="X63" s="649" t="n"/>
      <c r="Y63" s="649" t="n"/>
      <c r="Z63" s="649" t="n"/>
      <c r="AA63" s="649" t="n"/>
      <c r="AB63" s="676" t="n"/>
      <c r="AD63" s="39" t="n"/>
      <c r="AG63" s="38" t="n"/>
      <c r="AH63" s="38" t="n"/>
      <c r="AI63" s="38" t="n"/>
    </row>
    <row r="64" ht="18" customHeight="1">
      <c r="A64" s="169" t="n">
        <v>1</v>
      </c>
      <c r="B64" s="442">
        <f>'INPUT DATA'!O11</f>
        <v/>
      </c>
      <c r="C64" s="673" t="n"/>
      <c r="D64" s="673" t="n"/>
      <c r="E64" s="674" t="n"/>
      <c r="F64" s="52" t="n"/>
      <c r="G64" s="49" t="n"/>
      <c r="H64" s="49" t="n"/>
      <c r="I64" s="49" t="n"/>
      <c r="J64" s="49" t="n"/>
      <c r="K64" s="48">
        <f>IF(COUNT($F64:$J64)=0,"",SUM($F64:$J64))</f>
        <v/>
      </c>
      <c r="L64" s="47">
        <f>IFERROR(IF(K64="","",ROUND(K64/$K$11*100,2)),"")</f>
        <v/>
      </c>
      <c r="M64" s="54">
        <f>IFERROR(IF(L64="","",ROUND(L64*$M$11,2)),"")</f>
        <v/>
      </c>
      <c r="N64" s="52" t="n"/>
      <c r="O64" s="49" t="n"/>
      <c r="P64" s="49" t="n"/>
      <c r="Q64" s="48">
        <f>IF(COUNT($N64:$P64)=0,"",SUM($N64:$P64))</f>
        <v/>
      </c>
      <c r="R64" s="47">
        <f>IFERROR(IF(Q64="","",ROUND(Q64/$Q$11*100,2)),"")</f>
        <v/>
      </c>
      <c r="S64" s="54">
        <f>IFERROR(IF(R64="","",ROUND(R64*$S$11,2)),"")</f>
        <v/>
      </c>
      <c r="T64" s="265" t="n">
        <v>35</v>
      </c>
      <c r="U64" s="46" t="n"/>
      <c r="V64" s="268" t="n"/>
      <c r="W64" s="272">
        <f>IF(COUNT($T64:$V64)=0,"",SUM($T64:$V64))</f>
        <v/>
      </c>
      <c r="X64" s="352">
        <f>IFERROR(IF(W64="","",ROUND((($T64/$T$11)*30 + ($U64/$U$11)*30 + ($V64/$V$11)*40),2)),"")</f>
        <v/>
      </c>
      <c r="Y64" s="54">
        <f>IFERROR(IF(X64="","",ROUND(X64*$Y$11,2)),"")</f>
        <v/>
      </c>
      <c r="Z64" s="55">
        <f>IFERROR(M64+S64+Y64,"")</f>
        <v/>
      </c>
      <c r="AA64" s="274">
        <f>IFERROR(VLOOKUP(Z64,'Helper(IMPORTANT!)'!$CQ$1:$CR$41,2,TRUE),"")</f>
        <v/>
      </c>
      <c r="AB64" s="170">
        <f t="array" ref="AB64">IF(AA64="", "", _xlfn.IFS(AA64&gt;=90, "A", AA64&gt;=80, "B", AA64&gt;=75, "C", AA64&gt;=65, "D", AA64&gt;=0, "E"))</f>
        <v/>
      </c>
      <c r="AD64" s="39" t="n"/>
      <c r="AG64" s="38" t="n"/>
      <c r="AH64" s="38" t="n"/>
      <c r="AI64" s="38" t="n"/>
    </row>
    <row r="65" ht="18" customHeight="1">
      <c r="A65" s="169" t="n">
        <v>2</v>
      </c>
      <c r="B65" s="442">
        <f>'INPUT DATA'!O12</f>
        <v/>
      </c>
      <c r="C65" s="673" t="n"/>
      <c r="D65" s="673" t="n"/>
      <c r="E65" s="674" t="n"/>
      <c r="F65" s="52" t="n"/>
      <c r="G65" s="49" t="n"/>
      <c r="H65" s="49" t="n"/>
      <c r="I65" s="49" t="n"/>
      <c r="J65" s="49" t="n"/>
      <c r="K65" s="48">
        <f>IF(COUNT($F65:$J65)=0,"",SUM($F65:$J65))</f>
        <v/>
      </c>
      <c r="L65" s="47">
        <f>IFERROR(IF(K65="","",ROUND(K65/$K$11*100,2)),"")</f>
        <v/>
      </c>
      <c r="M65" s="54">
        <f>IFERROR(IF(L65="","",ROUND(L65*$M$11,2)),"")</f>
        <v/>
      </c>
      <c r="N65" s="52" t="n"/>
      <c r="O65" s="49" t="n"/>
      <c r="P65" s="49" t="n"/>
      <c r="Q65" s="48">
        <f>IF(COUNT($N65:$P65)=0,"",SUM($N65:$P65))</f>
        <v/>
      </c>
      <c r="R65" s="47">
        <f>IFERROR(IF(Q65="","",ROUND(Q65/$Q$11*100,2)),"")</f>
        <v/>
      </c>
      <c r="S65" s="54">
        <f>IFERROR(IF(R65="","",ROUND(R65*$S$11,2)),"")</f>
        <v/>
      </c>
      <c r="T65" s="265" t="n">
        <v>29</v>
      </c>
      <c r="U65" s="46" t="n"/>
      <c r="V65" s="268" t="n"/>
      <c r="W65" s="272">
        <f>IF(COUNT($T65:$V65)=0,"",SUM($T65:$V65))</f>
        <v/>
      </c>
      <c r="X65" s="352">
        <f>IFERROR(IF(W65="","",ROUND((($T65/$T$11)*30 + ($U65/$U$11)*30 + ($V65/$V$11)*40),2)),"")</f>
        <v/>
      </c>
      <c r="Y65" s="54">
        <f>IFERROR(IF(X65="","",ROUND(X65*$Y$11,2)),"")</f>
        <v/>
      </c>
      <c r="Z65" s="55">
        <f>IFERROR(M65+S65+Y65,"")</f>
        <v/>
      </c>
      <c r="AA65" s="274">
        <f>IFERROR(VLOOKUP(Z65,'Helper(IMPORTANT!)'!$CQ$1:$CR$41,2,TRUE),"")</f>
        <v/>
      </c>
      <c r="AB65" s="170">
        <f t="array" ref="AB65">IF(AA65="", "", _xlfn.IFS(AA65&gt;=90, "A", AA65&gt;=80, "B", AA65&gt;=75, "C", AA65&gt;=65, "D", AA65&gt;=0, "E"))</f>
        <v/>
      </c>
      <c r="AD65" s="39" t="n"/>
      <c r="AG65" s="38" t="n"/>
      <c r="AH65" s="38" t="n"/>
      <c r="AI65" s="38" t="n"/>
    </row>
    <row r="66" ht="18" customHeight="1">
      <c r="A66" s="169" t="n">
        <v>3</v>
      </c>
      <c r="B66" s="442">
        <f>'INPUT DATA'!O13</f>
        <v/>
      </c>
      <c r="C66" s="673" t="n"/>
      <c r="D66" s="673" t="n"/>
      <c r="E66" s="674" t="n"/>
      <c r="F66" s="52" t="n"/>
      <c r="G66" s="49" t="n"/>
      <c r="H66" s="49" t="n"/>
      <c r="I66" s="49" t="n"/>
      <c r="J66" s="49" t="n"/>
      <c r="K66" s="48">
        <f>IF(COUNT($F66:$J66)=0,"",SUM($F66:$J66))</f>
        <v/>
      </c>
      <c r="L66" s="47">
        <f>IFERROR(IF(K66="","",ROUND(K66/$K$11*100,2)),"")</f>
        <v/>
      </c>
      <c r="M66" s="54">
        <f>IFERROR(IF(L66="","",ROUND(L66*$M$11,2)),"")</f>
        <v/>
      </c>
      <c r="N66" s="52" t="n"/>
      <c r="O66" s="49" t="n"/>
      <c r="P66" s="49" t="n"/>
      <c r="Q66" s="48">
        <f>IF(COUNT($N66:$P66)=0,"",SUM($N66:$P66))</f>
        <v/>
      </c>
      <c r="R66" s="47">
        <f>IFERROR(IF(Q66="","",ROUND(Q66/$Q$11*100,2)),"")</f>
        <v/>
      </c>
      <c r="S66" s="54">
        <f>IFERROR(IF(R66="","",ROUND(R66*$S$11,2)),"")</f>
        <v/>
      </c>
      <c r="T66" s="265" t="n">
        <v>34</v>
      </c>
      <c r="U66" s="46" t="n"/>
      <c r="V66" s="268" t="n"/>
      <c r="W66" s="272">
        <f>IF(COUNT($T66:$V66)=0,"",SUM($T66:$V66))</f>
        <v/>
      </c>
      <c r="X66" s="352">
        <f>IFERROR(IF(W66="","",ROUND((($T66/$T$11)*30 + ($U66/$U$11)*30 + ($V66/$V$11)*40),2)),"")</f>
        <v/>
      </c>
      <c r="Y66" s="54">
        <f>IFERROR(IF(X66="","",ROUND(X66*$Y$11,2)),"")</f>
        <v/>
      </c>
      <c r="Z66" s="55">
        <f>IFERROR(M66+S66+Y66,"")</f>
        <v/>
      </c>
      <c r="AA66" s="274">
        <f>IFERROR(VLOOKUP(Z66,'Helper(IMPORTANT!)'!$CQ$1:$CR$41,2,TRUE),"")</f>
        <v/>
      </c>
      <c r="AB66" s="170">
        <f t="array" ref="AB66">IF(AA66="", "", _xlfn.IFS(AA66&gt;=90, "A", AA66&gt;=80, "B", AA66&gt;=75, "C", AA66&gt;=65, "D", AA66&gt;=0, "E"))</f>
        <v/>
      </c>
      <c r="AD66" s="39" t="n"/>
      <c r="AG66" s="38" t="n"/>
      <c r="AH66" s="38" t="n"/>
      <c r="AI66" s="38" t="n"/>
    </row>
    <row r="67" ht="18" customHeight="1">
      <c r="A67" s="169" t="n">
        <v>4</v>
      </c>
      <c r="B67" s="442">
        <f>'INPUT DATA'!O14</f>
        <v/>
      </c>
      <c r="C67" s="673" t="n"/>
      <c r="D67" s="673" t="n"/>
      <c r="E67" s="674" t="n"/>
      <c r="F67" s="52" t="n"/>
      <c r="G67" s="49" t="n"/>
      <c r="H67" s="49" t="n"/>
      <c r="I67" s="49" t="n"/>
      <c r="J67" s="49" t="n"/>
      <c r="K67" s="48">
        <f>IF(COUNT($F67:$J67)=0,"",SUM($F67:$J67))</f>
        <v/>
      </c>
      <c r="L67" s="47">
        <f>IFERROR(IF(K67="","",ROUND(K67/$K$11*100,2)),"")</f>
        <v/>
      </c>
      <c r="M67" s="54">
        <f>IFERROR(IF(L67="","",ROUND(L67*$M$11,2)),"")</f>
        <v/>
      </c>
      <c r="N67" s="52" t="n"/>
      <c r="O67" s="49" t="n"/>
      <c r="P67" s="49" t="n"/>
      <c r="Q67" s="48">
        <f>IF(COUNT($N67:$P67)=0,"",SUM($N67:$P67))</f>
        <v/>
      </c>
      <c r="R67" s="47">
        <f>IFERROR(IF(Q67="","",ROUND(Q67/$Q$11*100,2)),"")</f>
        <v/>
      </c>
      <c r="S67" s="54">
        <f>IFERROR(IF(R67="","",ROUND(R67*$S$11,2)),"")</f>
        <v/>
      </c>
      <c r="T67" s="265" t="n">
        <v>35</v>
      </c>
      <c r="U67" s="46" t="n"/>
      <c r="V67" s="268" t="n"/>
      <c r="W67" s="272">
        <f>IF(COUNT($T67:$V67)=0,"",SUM($T67:$V67))</f>
        <v/>
      </c>
      <c r="X67" s="352">
        <f>IFERROR(IF(W67="","",ROUND((($T67/$T$11)*30 + ($U67/$U$11)*30 + ($V67/$V$11)*40),2)),"")</f>
        <v/>
      </c>
      <c r="Y67" s="54">
        <f>IFERROR(IF(X67="","",ROUND(X67*$Y$11,2)),"")</f>
        <v/>
      </c>
      <c r="Z67" s="55">
        <f>IFERROR(M67+S67+Y67,"")</f>
        <v/>
      </c>
      <c r="AA67" s="274">
        <f>IFERROR(VLOOKUP(Z67,'Helper(IMPORTANT!)'!$CQ$1:$CR$41,2,TRUE),"")</f>
        <v/>
      </c>
      <c r="AB67" s="170">
        <f t="array" ref="AB67">IF(AA67="", "", _xlfn.IFS(AA67&gt;=90, "A", AA67&gt;=80, "B", AA67&gt;=75, "C", AA67&gt;=65, "D", AA67&gt;=0, "E"))</f>
        <v/>
      </c>
      <c r="AD67" s="39" t="n"/>
      <c r="AG67" s="38" t="n"/>
      <c r="AH67" s="38" t="n"/>
      <c r="AI67" s="38" t="n"/>
    </row>
    <row r="68" ht="18" customHeight="1">
      <c r="A68" s="169" t="n">
        <v>5</v>
      </c>
      <c r="B68" s="442">
        <f>'INPUT DATA'!O15</f>
        <v/>
      </c>
      <c r="C68" s="673" t="n"/>
      <c r="D68" s="673" t="n"/>
      <c r="E68" s="674" t="n"/>
      <c r="F68" s="52" t="n"/>
      <c r="G68" s="49" t="n"/>
      <c r="H68" s="49" t="n"/>
      <c r="I68" s="49" t="n"/>
      <c r="J68" s="49" t="n"/>
      <c r="K68" s="48">
        <f>IF(COUNT($F68:$J68)=0,"",SUM($F68:$J68))</f>
        <v/>
      </c>
      <c r="L68" s="47">
        <f>IFERROR(IF(K68="","",ROUND(K68/$K$11*100,2)),"")</f>
        <v/>
      </c>
      <c r="M68" s="54">
        <f>IFERROR(IF(L68="","",ROUND(L68*$M$11,2)),"")</f>
        <v/>
      </c>
      <c r="N68" s="52" t="n"/>
      <c r="O68" s="49" t="n"/>
      <c r="P68" s="49" t="n"/>
      <c r="Q68" s="48">
        <f>IF(COUNT($N68:$P68)=0,"",SUM($N68:$P68))</f>
        <v/>
      </c>
      <c r="R68" s="47">
        <f>IFERROR(IF(Q68="","",ROUND(Q68/$Q$11*100,2)),"")</f>
        <v/>
      </c>
      <c r="S68" s="54">
        <f>IFERROR(IF(R68="","",ROUND(R68*$S$11,2)),"")</f>
        <v/>
      </c>
      <c r="T68" s="265" t="n">
        <v>35</v>
      </c>
      <c r="U68" s="46" t="n"/>
      <c r="V68" s="268" t="n"/>
      <c r="W68" s="272">
        <f>IF(COUNT($T68:$V68)=0,"",SUM($T68:$V68))</f>
        <v/>
      </c>
      <c r="X68" s="352">
        <f>IFERROR(IF(W68="","",ROUND((($T68/$T$11)*30 + ($U68/$U$11)*30 + ($V68/$V$11)*40),2)),"")</f>
        <v/>
      </c>
      <c r="Y68" s="54">
        <f>IFERROR(IF(X68="","",ROUND(X68*$Y$11,2)),"")</f>
        <v/>
      </c>
      <c r="Z68" s="55">
        <f>IFERROR(M68+S68+Y68,"")</f>
        <v/>
      </c>
      <c r="AA68" s="274">
        <f>IFERROR(VLOOKUP(Z68,'Helper(IMPORTANT!)'!$CQ$1:$CR$41,2,TRUE),"")</f>
        <v/>
      </c>
      <c r="AB68" s="170">
        <f t="array" ref="AB68">IF(AA68="", "", _xlfn.IFS(AA68&gt;=90, "A", AA68&gt;=80, "B", AA68&gt;=75, "C", AA68&gt;=65, "D", AA68&gt;=0, "E"))</f>
        <v/>
      </c>
      <c r="AD68" s="39" t="n"/>
      <c r="AG68" s="38" t="n"/>
      <c r="AH68" s="38" t="n"/>
      <c r="AI68" s="38" t="n"/>
    </row>
    <row r="69" ht="18" customHeight="1">
      <c r="A69" s="169" t="n">
        <v>6</v>
      </c>
      <c r="B69" s="442">
        <f>'INPUT DATA'!O16</f>
        <v/>
      </c>
      <c r="C69" s="673" t="n"/>
      <c r="D69" s="673" t="n"/>
      <c r="E69" s="674" t="n"/>
      <c r="F69" s="52" t="n"/>
      <c r="G69" s="49" t="n"/>
      <c r="H69" s="49" t="n"/>
      <c r="I69" s="49" t="n"/>
      <c r="J69" s="49" t="n"/>
      <c r="K69" s="48">
        <f>IF(COUNT($F69:$J69)=0,"",SUM($F69:$J69))</f>
        <v/>
      </c>
      <c r="L69" s="47">
        <f>IFERROR(IF(K69="","",ROUND(K69/$K$11*100,2)),"")</f>
        <v/>
      </c>
      <c r="M69" s="54">
        <f>IFERROR(IF(L69="","",ROUND(L69*$M$11,2)),"")</f>
        <v/>
      </c>
      <c r="N69" s="52" t="n"/>
      <c r="O69" s="49" t="n"/>
      <c r="P69" s="49" t="n"/>
      <c r="Q69" s="48">
        <f>IF(COUNT($N69:$P69)=0,"",SUM($N69:$P69))</f>
        <v/>
      </c>
      <c r="R69" s="47">
        <f>IFERROR(IF(Q69="","",ROUND(Q69/$Q$11*100,2)),"")</f>
        <v/>
      </c>
      <c r="S69" s="54">
        <f>IFERROR(IF(R69="","",ROUND(R69*$S$11,2)),"")</f>
        <v/>
      </c>
      <c r="T69" s="265" t="n">
        <v>29</v>
      </c>
      <c r="U69" s="46" t="n"/>
      <c r="V69" s="268" t="n"/>
      <c r="W69" s="272">
        <f>IF(COUNT($T69:$V69)=0,"",SUM($T69:$V69))</f>
        <v/>
      </c>
      <c r="X69" s="352">
        <f>IFERROR(IF(W69="","",ROUND((($T69/$T$11)*30 + ($U69/$U$11)*30 + ($V69/$V$11)*40),2)),"")</f>
        <v/>
      </c>
      <c r="Y69" s="54">
        <f>IFERROR(IF(X69="","",ROUND(X69*$Y$11,2)),"")</f>
        <v/>
      </c>
      <c r="Z69" s="55">
        <f>IFERROR(M69+S69+Y69,"")</f>
        <v/>
      </c>
      <c r="AA69" s="274">
        <f>IFERROR(VLOOKUP(Z69,'Helper(IMPORTANT!)'!$CQ$1:$CR$41,2,TRUE),"")</f>
        <v/>
      </c>
      <c r="AB69" s="170">
        <f t="array" ref="AB69">IF(AA69="", "", _xlfn.IFS(AA69&gt;=90, "A", AA69&gt;=80, "B", AA69&gt;=75, "C", AA69&gt;=65, "D", AA69&gt;=0, "E"))</f>
        <v/>
      </c>
      <c r="AD69" s="39" t="n"/>
      <c r="AG69" s="38" t="n"/>
      <c r="AH69" s="38" t="n"/>
      <c r="AI69" s="38" t="n"/>
    </row>
    <row r="70" ht="18" customHeight="1">
      <c r="A70" s="169" t="n">
        <v>7</v>
      </c>
      <c r="B70" s="442">
        <f>'INPUT DATA'!O17</f>
        <v/>
      </c>
      <c r="C70" s="673" t="n"/>
      <c r="D70" s="673" t="n"/>
      <c r="E70" s="674" t="n"/>
      <c r="F70" s="52" t="n"/>
      <c r="G70" s="49" t="n"/>
      <c r="H70" s="49" t="n"/>
      <c r="I70" s="49" t="n"/>
      <c r="J70" s="49" t="n"/>
      <c r="K70" s="48">
        <f>IF(COUNT($F70:$J70)=0,"",SUM($F70:$J70))</f>
        <v/>
      </c>
      <c r="L70" s="47">
        <f>IFERROR(IF(K70="","",ROUND(K70/$K$11*100,2)),"")</f>
        <v/>
      </c>
      <c r="M70" s="54">
        <f>IFERROR(IF(L70="","",ROUND(L70*$M$11,2)),"")</f>
        <v/>
      </c>
      <c r="N70" s="52" t="n"/>
      <c r="O70" s="49" t="n"/>
      <c r="P70" s="49" t="n"/>
      <c r="Q70" s="48">
        <f>IF(COUNT($N70:$P70)=0,"",SUM($N70:$P70))</f>
        <v/>
      </c>
      <c r="R70" s="47">
        <f>IFERROR(IF(Q70="","",ROUND(Q70/$Q$11*100,2)),"")</f>
        <v/>
      </c>
      <c r="S70" s="54">
        <f>IFERROR(IF(R70="","",ROUND(R70*$S$11,2)),"")</f>
        <v/>
      </c>
      <c r="T70" s="265" t="n"/>
      <c r="U70" s="46" t="n"/>
      <c r="V70" s="268" t="n"/>
      <c r="W70" s="272">
        <f>IF(COUNT($T70:$V70)=0,"",SUM($T70:$V70))</f>
        <v/>
      </c>
      <c r="X70" s="352">
        <f>IFERROR(IF(W70="","",ROUND((($T70/$T$11)*30 + ($U70/$U$11)*30 + ($V70/$V$11)*40),2)),"")</f>
        <v/>
      </c>
      <c r="Y70" s="54">
        <f>IFERROR(IF(X70="","",ROUND(X70*$Y$11,2)),"")</f>
        <v/>
      </c>
      <c r="Z70" s="55">
        <f>IFERROR(M70+S70+Y70,"")</f>
        <v/>
      </c>
      <c r="AA70" s="274">
        <f>IFERROR(VLOOKUP(Z70,'Helper(IMPORTANT!)'!$CQ$1:$CR$41,2,TRUE),"")</f>
        <v/>
      </c>
      <c r="AB70" s="170">
        <f t="array" ref="AB70">IF(AA70="", "", _xlfn.IFS(AA70&gt;=90, "A", AA70&gt;=80, "B", AA70&gt;=75, "C", AA70&gt;=65, "D", AA70&gt;=0, "E"))</f>
        <v/>
      </c>
      <c r="AD70" s="39" t="n"/>
      <c r="AG70" s="38" t="n"/>
      <c r="AH70" s="38" t="n"/>
      <c r="AI70" s="38" t="n"/>
    </row>
    <row r="71" ht="18" customHeight="1">
      <c r="A71" s="169" t="n">
        <v>8</v>
      </c>
      <c r="B71" s="442">
        <f>'INPUT DATA'!O18</f>
        <v/>
      </c>
      <c r="C71" s="673" t="n"/>
      <c r="D71" s="673" t="n"/>
      <c r="E71" s="674" t="n"/>
      <c r="F71" s="52" t="n"/>
      <c r="G71" s="49" t="n"/>
      <c r="H71" s="49" t="n"/>
      <c r="I71" s="49" t="n"/>
      <c r="J71" s="49" t="n"/>
      <c r="K71" s="48">
        <f>IF(COUNT($F71:$J71)=0,"",SUM($F71:$J71))</f>
        <v/>
      </c>
      <c r="L71" s="47">
        <f>IFERROR(IF(K71="","",ROUND(K71/$K$11*100,2)),"")</f>
        <v/>
      </c>
      <c r="M71" s="54">
        <f>IFERROR(IF(L71="","",ROUND(L71*$M$11,2)),"")</f>
        <v/>
      </c>
      <c r="N71" s="52" t="n"/>
      <c r="O71" s="49" t="n"/>
      <c r="P71" s="49" t="n"/>
      <c r="Q71" s="48">
        <f>IF(COUNT($N71:$P71)=0,"",SUM($N71:$P71))</f>
        <v/>
      </c>
      <c r="R71" s="47">
        <f>IFERROR(IF(Q71="","",ROUND(Q71/$Q$11*100,2)),"")</f>
        <v/>
      </c>
      <c r="S71" s="54">
        <f>IFERROR(IF(R71="","",ROUND(R71*$S$11,2)),"")</f>
        <v/>
      </c>
      <c r="T71" s="265" t="n"/>
      <c r="U71" s="46" t="n"/>
      <c r="V71" s="268" t="n"/>
      <c r="W71" s="272">
        <f>IF(COUNT($T71:$V71)=0,"",SUM($T71:$V71))</f>
        <v/>
      </c>
      <c r="X71" s="352">
        <f>IFERROR(IF(W71="","",ROUND((($T71/$T$11)*30 + ($U71/$U$11)*30 + ($V71/$V$11)*40),2)),"")</f>
        <v/>
      </c>
      <c r="Y71" s="54">
        <f>IFERROR(IF(X71="","",ROUND(X71*$Y$11,2)),"")</f>
        <v/>
      </c>
      <c r="Z71" s="55">
        <f>IFERROR(M71+S71+Y71,"")</f>
        <v/>
      </c>
      <c r="AA71" s="274">
        <f>IFERROR(VLOOKUP(Z71,'Helper(IMPORTANT!)'!$CQ$1:$CR$41,2,TRUE),"")</f>
        <v/>
      </c>
      <c r="AB71" s="170">
        <f t="array" ref="AB71">IF(AA71="", "", _xlfn.IFS(AA71&gt;=90, "A", AA71&gt;=80, "B", AA71&gt;=75, "C", AA71&gt;=65, "D", AA71&gt;=0, "E"))</f>
        <v/>
      </c>
      <c r="AD71" s="39" t="n"/>
      <c r="AG71" s="38" t="n"/>
      <c r="AH71" s="38" t="n"/>
      <c r="AI71" s="38" t="n"/>
    </row>
    <row r="72" ht="18" customHeight="1">
      <c r="A72" s="169" t="n">
        <v>9</v>
      </c>
      <c r="B72" s="442">
        <f>'INPUT DATA'!O19</f>
        <v/>
      </c>
      <c r="C72" s="673" t="n"/>
      <c r="D72" s="673" t="n"/>
      <c r="E72" s="674" t="n"/>
      <c r="F72" s="52" t="n"/>
      <c r="G72" s="49" t="n"/>
      <c r="H72" s="49" t="n"/>
      <c r="I72" s="49" t="n"/>
      <c r="J72" s="49" t="n"/>
      <c r="K72" s="48">
        <f>IF(COUNT($F72:$J72)=0,"",SUM($F72:$J72))</f>
        <v/>
      </c>
      <c r="L72" s="47">
        <f>IFERROR(IF(K72="","",ROUND(K72/$K$11*100,2)),"")</f>
        <v/>
      </c>
      <c r="M72" s="54">
        <f>IFERROR(IF(L72="","",ROUND(L72*$M$11,2)),"")</f>
        <v/>
      </c>
      <c r="N72" s="52" t="n"/>
      <c r="O72" s="49" t="n"/>
      <c r="P72" s="49" t="n"/>
      <c r="Q72" s="48">
        <f>IF(COUNT($N72:$P72)=0,"",SUM($N72:$P72))</f>
        <v/>
      </c>
      <c r="R72" s="47">
        <f>IFERROR(IF(Q72="","",ROUND(Q72/$Q$11*100,2)),"")</f>
        <v/>
      </c>
      <c r="S72" s="54">
        <f>IFERROR(IF(R72="","",ROUND(R72*$S$11,2)),"")</f>
        <v/>
      </c>
      <c r="T72" s="265" t="n"/>
      <c r="U72" s="46" t="n"/>
      <c r="V72" s="268" t="n"/>
      <c r="W72" s="272">
        <f>IF(COUNT($T72:$V72)=0,"",SUM($T72:$V72))</f>
        <v/>
      </c>
      <c r="X72" s="352">
        <f>IFERROR(IF(W72="","",ROUND((($T72/$T$11)*30 + ($U72/$U$11)*30 + ($V72/$V$11)*40),2)),"")</f>
        <v/>
      </c>
      <c r="Y72" s="54">
        <f>IFERROR(IF(X72="","",ROUND(X72*$Y$11,2)),"")</f>
        <v/>
      </c>
      <c r="Z72" s="55">
        <f>IFERROR(M72+S72+Y72,"")</f>
        <v/>
      </c>
      <c r="AA72" s="274">
        <f>IFERROR(VLOOKUP(Z72,'Helper(IMPORTANT!)'!$CQ$1:$CR$41,2,TRUE),"")</f>
        <v/>
      </c>
      <c r="AB72" s="170">
        <f t="array" ref="AB72">IF(AA72="", "", _xlfn.IFS(AA72&gt;=90, "A", AA72&gt;=80, "B", AA72&gt;=75, "C", AA72&gt;=65, "D", AA72&gt;=0, "E"))</f>
        <v/>
      </c>
      <c r="AD72" s="39" t="n"/>
      <c r="AG72" s="38" t="n"/>
      <c r="AH72" s="38" t="n"/>
      <c r="AI72" s="38" t="n"/>
    </row>
    <row r="73" ht="18" customHeight="1">
      <c r="A73" s="169" t="n">
        <v>10</v>
      </c>
      <c r="B73" s="442">
        <f>'INPUT DATA'!O20</f>
        <v/>
      </c>
      <c r="C73" s="673" t="n"/>
      <c r="D73" s="673" t="n"/>
      <c r="E73" s="674" t="n"/>
      <c r="F73" s="52" t="n"/>
      <c r="G73" s="49" t="n"/>
      <c r="H73" s="49" t="n"/>
      <c r="I73" s="49" t="n"/>
      <c r="J73" s="49" t="n"/>
      <c r="K73" s="48">
        <f>IF(COUNT($F73:$J73)=0,"",SUM($F73:$J73))</f>
        <v/>
      </c>
      <c r="L73" s="47">
        <f>IFERROR(IF(K73="","",ROUND(K73/$K$11*100,2)),"")</f>
        <v/>
      </c>
      <c r="M73" s="54">
        <f>IFERROR(IF(L73="","",ROUND(L73*$M$11,2)),"")</f>
        <v/>
      </c>
      <c r="N73" s="52" t="n"/>
      <c r="O73" s="49" t="n"/>
      <c r="P73" s="49" t="n"/>
      <c r="Q73" s="48">
        <f>IF(COUNT($N73:$P73)=0,"",SUM($N73:$P73))</f>
        <v/>
      </c>
      <c r="R73" s="47">
        <f>IFERROR(IF(Q73="","",ROUND(Q73/$Q$11*100,2)),"")</f>
        <v/>
      </c>
      <c r="S73" s="54">
        <f>IFERROR(IF(R73="","",ROUND(R73*$S$11,2)),"")</f>
        <v/>
      </c>
      <c r="T73" s="265" t="n"/>
      <c r="U73" s="46" t="n"/>
      <c r="V73" s="268" t="n"/>
      <c r="W73" s="272">
        <f>IF(COUNT($T73:$V73)=0,"",SUM($T73:$V73))</f>
        <v/>
      </c>
      <c r="X73" s="352">
        <f>IFERROR(IF(W73="","",ROUND((($T73/$T$11)*30 + ($U73/$U$11)*30 + ($V73/$V$11)*40),2)),"")</f>
        <v/>
      </c>
      <c r="Y73" s="54">
        <f>IFERROR(IF(X73="","",ROUND(X73*$Y$11,2)),"")</f>
        <v/>
      </c>
      <c r="Z73" s="55">
        <f>IFERROR(M73+S73+Y73,"")</f>
        <v/>
      </c>
      <c r="AA73" s="274">
        <f>IFERROR(VLOOKUP(Z73,'Helper(IMPORTANT!)'!$CQ$1:$CR$41,2,TRUE),"")</f>
        <v/>
      </c>
      <c r="AB73" s="170">
        <f t="array" ref="AB73">IF(AA73="", "", _xlfn.IFS(AA73&gt;=90, "A", AA73&gt;=80, "B", AA73&gt;=75, "C", AA73&gt;=65, "D", AA73&gt;=0, "E"))</f>
        <v/>
      </c>
      <c r="AD73" s="39" t="n"/>
      <c r="AG73" s="38" t="n"/>
      <c r="AH73" s="38" t="n"/>
      <c r="AI73" s="38" t="n"/>
    </row>
    <row r="74" ht="18" customHeight="1">
      <c r="A74" s="169" t="n">
        <v>11</v>
      </c>
      <c r="B74" s="442">
        <f>'INPUT DATA'!O21</f>
        <v/>
      </c>
      <c r="C74" s="673" t="n"/>
      <c r="D74" s="673" t="n"/>
      <c r="E74" s="674" t="n"/>
      <c r="F74" s="52" t="n"/>
      <c r="G74" s="49" t="n"/>
      <c r="H74" s="49" t="n"/>
      <c r="I74" s="49" t="n"/>
      <c r="J74" s="49" t="n"/>
      <c r="K74" s="48">
        <f>IF(COUNT($F74:$J74)=0,"",SUM($F74:$J74))</f>
        <v/>
      </c>
      <c r="L74" s="47">
        <f>IFERROR(IF(K74="","",ROUND(K74/$K$11*100,2)),"")</f>
        <v/>
      </c>
      <c r="M74" s="54">
        <f>IFERROR(IF(L74="","",ROUND(L74*$M$11,2)),"")</f>
        <v/>
      </c>
      <c r="N74" s="52" t="n"/>
      <c r="O74" s="49" t="n"/>
      <c r="P74" s="49" t="n"/>
      <c r="Q74" s="48">
        <f>IF(COUNT($N74:$P74)=0,"",SUM($N74:$P74))</f>
        <v/>
      </c>
      <c r="R74" s="47">
        <f>IFERROR(IF(Q74="","",ROUND(Q74/$Q$11*100,2)),"")</f>
        <v/>
      </c>
      <c r="S74" s="54">
        <f>IFERROR(IF(R74="","",ROUND(R74*$S$11,2)),"")</f>
        <v/>
      </c>
      <c r="T74" s="265" t="n"/>
      <c r="U74" s="46" t="n"/>
      <c r="V74" s="268" t="n"/>
      <c r="W74" s="272">
        <f>IF(COUNT($T74:$V74)=0,"",SUM($T74:$V74))</f>
        <v/>
      </c>
      <c r="X74" s="352">
        <f>IFERROR(IF(W74="","",ROUND((($T74/$T$11)*30 + ($U74/$U$11)*30 + ($V74/$V$11)*40),2)),"")</f>
        <v/>
      </c>
      <c r="Y74" s="54">
        <f>IFERROR(IF(X74="","",ROUND(X74*$Y$11,2)),"")</f>
        <v/>
      </c>
      <c r="Z74" s="55">
        <f>IFERROR(M74+S74+Y74,"")</f>
        <v/>
      </c>
      <c r="AA74" s="274">
        <f>IFERROR(VLOOKUP(Z74,'Helper(IMPORTANT!)'!$CQ$1:$CR$41,2,TRUE),"")</f>
        <v/>
      </c>
      <c r="AB74" s="170">
        <f t="array" ref="AB74">IF(AA74="", "", _xlfn.IFS(AA74&gt;=90, "A", AA74&gt;=80, "B", AA74&gt;=75, "C", AA74&gt;=65, "D", AA74&gt;=0, "E"))</f>
        <v/>
      </c>
      <c r="AD74" s="39" t="n"/>
      <c r="AG74" s="38" t="n"/>
      <c r="AH74" s="38" t="n"/>
      <c r="AI74" s="38" t="n"/>
    </row>
    <row r="75" ht="18" customHeight="1">
      <c r="A75" s="169" t="n">
        <v>12</v>
      </c>
      <c r="B75" s="442">
        <f>'INPUT DATA'!O22</f>
        <v/>
      </c>
      <c r="C75" s="673" t="n"/>
      <c r="D75" s="673" t="n"/>
      <c r="E75" s="674" t="n"/>
      <c r="F75" s="52" t="n"/>
      <c r="G75" s="49" t="n"/>
      <c r="H75" s="49" t="n"/>
      <c r="I75" s="49" t="n"/>
      <c r="J75" s="49" t="n"/>
      <c r="K75" s="48">
        <f>IF(COUNT($F75:$J75)=0,"",SUM($F75:$J75))</f>
        <v/>
      </c>
      <c r="L75" s="47">
        <f>IFERROR(IF(K75="","",ROUND(K75/$K$11*100,2)),"")</f>
        <v/>
      </c>
      <c r="M75" s="54">
        <f>IFERROR(IF(L75="","",ROUND(L75*$M$11,2)),"")</f>
        <v/>
      </c>
      <c r="N75" s="52" t="n"/>
      <c r="O75" s="49" t="n"/>
      <c r="P75" s="49" t="n"/>
      <c r="Q75" s="48">
        <f>IF(COUNT($N75:$P75)=0,"",SUM($N75:$P75))</f>
        <v/>
      </c>
      <c r="R75" s="47">
        <f>IFERROR(IF(Q75="","",ROUND(Q75/$Q$11*100,2)),"")</f>
        <v/>
      </c>
      <c r="S75" s="54">
        <f>IFERROR(IF(R75="","",ROUND(R75*$S$11,2)),"")</f>
        <v/>
      </c>
      <c r="T75" s="265" t="n"/>
      <c r="U75" s="46" t="n"/>
      <c r="V75" s="268" t="n"/>
      <c r="W75" s="272">
        <f>IF(COUNT($T75:$V75)=0,"",SUM($T75:$V75))</f>
        <v/>
      </c>
      <c r="X75" s="352">
        <f>IFERROR(IF(W75="","",ROUND((($T75/$T$11)*30 + ($U75/$U$11)*30 + ($V75/$V$11)*40),2)),"")</f>
        <v/>
      </c>
      <c r="Y75" s="54">
        <f>IFERROR(IF(X75="","",ROUND(X75*$Y$11,2)),"")</f>
        <v/>
      </c>
      <c r="Z75" s="55">
        <f>IFERROR(M75+S75+Y75,"")</f>
        <v/>
      </c>
      <c r="AA75" s="274">
        <f>IFERROR(VLOOKUP(Z75,'Helper(IMPORTANT!)'!$CQ$1:$CR$41,2,TRUE),"")</f>
        <v/>
      </c>
      <c r="AB75" s="170">
        <f t="array" ref="AB75">IF(AA75="", "", _xlfn.IFS(AA75&gt;=90, "A", AA75&gt;=80, "B", AA75&gt;=75, "C", AA75&gt;=65, "D", AA75&gt;=0, "E"))</f>
        <v/>
      </c>
      <c r="AD75" s="39" t="n"/>
      <c r="AG75" s="38" t="n"/>
      <c r="AH75" s="38" t="n"/>
      <c r="AI75" s="38" t="n"/>
    </row>
    <row r="76" ht="18" customHeight="1">
      <c r="A76" s="169" t="n">
        <v>13</v>
      </c>
      <c r="B76" s="442">
        <f>'INPUT DATA'!O23</f>
        <v/>
      </c>
      <c r="C76" s="673" t="n"/>
      <c r="D76" s="673" t="n"/>
      <c r="E76" s="674" t="n"/>
      <c r="F76" s="52" t="n"/>
      <c r="G76" s="49" t="n"/>
      <c r="H76" s="49" t="n"/>
      <c r="I76" s="49" t="n"/>
      <c r="J76" s="49" t="n"/>
      <c r="K76" s="48">
        <f>IF(COUNT($F76:$J76)=0,"",SUM($F76:$J76))</f>
        <v/>
      </c>
      <c r="L76" s="47">
        <f>IFERROR(IF(K76="","",ROUND(K76/$K$11*100,2)),"")</f>
        <v/>
      </c>
      <c r="M76" s="54">
        <f>IFERROR(IF(L76="","",ROUND(L76*$M$11,2)),"")</f>
        <v/>
      </c>
      <c r="N76" s="52" t="n"/>
      <c r="O76" s="49" t="n"/>
      <c r="P76" s="49" t="n"/>
      <c r="Q76" s="48">
        <f>IF(COUNT($N76:$P76)=0,"",SUM($N76:$P76))</f>
        <v/>
      </c>
      <c r="R76" s="47">
        <f>IFERROR(IF(Q76="","",ROUND(Q76/$Q$11*100,2)),"")</f>
        <v/>
      </c>
      <c r="S76" s="54">
        <f>IFERROR(IF(R76="","",ROUND(R76*$S$11,2)),"")</f>
        <v/>
      </c>
      <c r="T76" s="265" t="n"/>
      <c r="U76" s="46" t="n"/>
      <c r="V76" s="268" t="n"/>
      <c r="W76" s="272">
        <f>IF(COUNT($T76:$V76)=0,"",SUM($T76:$V76))</f>
        <v/>
      </c>
      <c r="X76" s="352">
        <f>IFERROR(IF(W76="","",ROUND((($T76/$T$11)*30 + ($U76/$U$11)*30 + ($V76/$V$11)*40),2)),"")</f>
        <v/>
      </c>
      <c r="Y76" s="54">
        <f>IFERROR(IF(X76="","",ROUND(X76*$Y$11,2)),"")</f>
        <v/>
      </c>
      <c r="Z76" s="55">
        <f>IFERROR(M76+S76+Y76,"")</f>
        <v/>
      </c>
      <c r="AA76" s="274">
        <f>IFERROR(VLOOKUP(Z76,'Helper(IMPORTANT!)'!$CQ$1:$CR$41,2,TRUE),"")</f>
        <v/>
      </c>
      <c r="AB76" s="170">
        <f t="array" ref="AB76">IF(AA76="", "", _xlfn.IFS(AA76&gt;=90, "A", AA76&gt;=80, "B", AA76&gt;=75, "C", AA76&gt;=65, "D", AA76&gt;=0, "E"))</f>
        <v/>
      </c>
      <c r="AD76" s="39" t="n"/>
      <c r="AG76" s="38" t="n"/>
      <c r="AH76" s="38" t="n"/>
      <c r="AI76" s="38" t="n"/>
    </row>
    <row r="77" ht="18" customHeight="1">
      <c r="A77" s="169" t="n">
        <v>14</v>
      </c>
      <c r="B77" s="442">
        <f>'INPUT DATA'!O24</f>
        <v/>
      </c>
      <c r="C77" s="673" t="n"/>
      <c r="D77" s="673" t="n"/>
      <c r="E77" s="674" t="n"/>
      <c r="F77" s="52" t="n"/>
      <c r="G77" s="49" t="n"/>
      <c r="H77" s="49" t="n"/>
      <c r="I77" s="49" t="n"/>
      <c r="J77" s="49" t="n"/>
      <c r="K77" s="48">
        <f>IF(COUNT($F77:$J77)=0,"",SUM($F77:$J77))</f>
        <v/>
      </c>
      <c r="L77" s="47">
        <f>IFERROR(IF(K77="","",ROUND(K77/$K$11*100,2)),"")</f>
        <v/>
      </c>
      <c r="M77" s="54">
        <f>IFERROR(IF(L77="","",ROUND(L77*$M$11,2)),"")</f>
        <v/>
      </c>
      <c r="N77" s="52" t="n"/>
      <c r="O77" s="49" t="n"/>
      <c r="P77" s="49" t="n"/>
      <c r="Q77" s="48">
        <f>IF(COUNT($N77:$P77)=0,"",SUM($N77:$P77))</f>
        <v/>
      </c>
      <c r="R77" s="47">
        <f>IFERROR(IF(Q77="","",ROUND(Q77/$Q$11*100,2)),"")</f>
        <v/>
      </c>
      <c r="S77" s="54">
        <f>IFERROR(IF(R77="","",ROUND(R77*$S$11,2)),"")</f>
        <v/>
      </c>
      <c r="T77" s="265" t="n"/>
      <c r="U77" s="46" t="n"/>
      <c r="V77" s="268" t="n"/>
      <c r="W77" s="272">
        <f>IF(COUNT($T77:$V77)=0,"",SUM($T77:$V77))</f>
        <v/>
      </c>
      <c r="X77" s="352">
        <f>IFERROR(IF(W77="","",ROUND((($T77/$T$11)*30 + ($U77/$U$11)*30 + ($V77/$V$11)*40),2)),"")</f>
        <v/>
      </c>
      <c r="Y77" s="54">
        <f>IFERROR(IF(X77="","",ROUND(X77*$Y$11,2)),"")</f>
        <v/>
      </c>
      <c r="Z77" s="55">
        <f>IFERROR(M77+S77+Y77,"")</f>
        <v/>
      </c>
      <c r="AA77" s="274">
        <f>IFERROR(VLOOKUP(Z77,'Helper(IMPORTANT!)'!$CQ$1:$CR$41,2,TRUE),"")</f>
        <v/>
      </c>
      <c r="AB77" s="170">
        <f t="array" ref="AB77">IF(AA77="", "", _xlfn.IFS(AA77&gt;=90, "A", AA77&gt;=80, "B", AA77&gt;=75, "C", AA77&gt;=65, "D", AA77&gt;=0, "E"))</f>
        <v/>
      </c>
      <c r="AD77" s="39" t="n"/>
      <c r="AG77" s="38" t="n"/>
      <c r="AH77" s="38" t="n"/>
      <c r="AI77" s="38" t="n"/>
    </row>
    <row r="78" ht="18" customHeight="1">
      <c r="A78" s="169" t="n">
        <v>15</v>
      </c>
      <c r="B78" s="442">
        <f>'INPUT DATA'!O25</f>
        <v/>
      </c>
      <c r="C78" s="673" t="n"/>
      <c r="D78" s="673" t="n"/>
      <c r="E78" s="674" t="n"/>
      <c r="F78" s="52" t="n"/>
      <c r="G78" s="49" t="n"/>
      <c r="H78" s="49" t="n"/>
      <c r="I78" s="49" t="n"/>
      <c r="J78" s="49" t="n"/>
      <c r="K78" s="48">
        <f>IF(COUNT($F78:$J78)=0,"",SUM($F78:$J78))</f>
        <v/>
      </c>
      <c r="L78" s="47">
        <f>IFERROR(IF(K78="","",ROUND(K78/$K$11*100,2)),"")</f>
        <v/>
      </c>
      <c r="M78" s="54">
        <f>IFERROR(IF(L78="","",ROUND(L78*$M$11,2)),"")</f>
        <v/>
      </c>
      <c r="N78" s="52" t="n"/>
      <c r="O78" s="49" t="n"/>
      <c r="P78" s="49" t="n"/>
      <c r="Q78" s="48">
        <f>IF(COUNT($N78:$P78)=0,"",SUM($N78:$P78))</f>
        <v/>
      </c>
      <c r="R78" s="47">
        <f>IFERROR(IF(Q78="","",ROUND(Q78/$Q$11*100,2)),"")</f>
        <v/>
      </c>
      <c r="S78" s="54">
        <f>IFERROR(IF(R78="","",ROUND(R78*$S$11,2)),"")</f>
        <v/>
      </c>
      <c r="T78" s="265" t="n"/>
      <c r="U78" s="46" t="n"/>
      <c r="V78" s="268" t="n"/>
      <c r="W78" s="272">
        <f>IF(COUNT($T78:$V78)=0,"",SUM($T78:$V78))</f>
        <v/>
      </c>
      <c r="X78" s="352">
        <f>IFERROR(IF(W78="","",ROUND((($T78/$T$11)*30 + ($U78/$U$11)*30 + ($V78/$V$11)*40),2)),"")</f>
        <v/>
      </c>
      <c r="Y78" s="54">
        <f>IFERROR(IF(X78="","",ROUND(X78*$Y$11,2)),"")</f>
        <v/>
      </c>
      <c r="Z78" s="55">
        <f>IFERROR(M78+S78+Y78,"")</f>
        <v/>
      </c>
      <c r="AA78" s="274">
        <f>IFERROR(VLOOKUP(Z78,'Helper(IMPORTANT!)'!$CQ$1:$CR$41,2,TRUE),"")</f>
        <v/>
      </c>
      <c r="AB78" s="170">
        <f t="array" ref="AB78">IF(AA78="", "", _xlfn.IFS(AA78&gt;=90, "A", AA78&gt;=80, "B", AA78&gt;=75, "C", AA78&gt;=65, "D", AA78&gt;=0, "E"))</f>
        <v/>
      </c>
      <c r="AD78" s="39" t="n"/>
      <c r="AG78" s="38" t="n"/>
      <c r="AH78" s="38" t="n"/>
      <c r="AI78" s="38" t="n"/>
    </row>
    <row r="79" ht="18" customHeight="1">
      <c r="A79" s="169" t="n">
        <v>16</v>
      </c>
      <c r="B79" s="442">
        <f>'INPUT DATA'!O26</f>
        <v/>
      </c>
      <c r="C79" s="673" t="n"/>
      <c r="D79" s="673" t="n"/>
      <c r="E79" s="674" t="n"/>
      <c r="F79" s="52" t="n"/>
      <c r="G79" s="49" t="n"/>
      <c r="H79" s="49" t="n"/>
      <c r="I79" s="49" t="n"/>
      <c r="J79" s="49" t="n"/>
      <c r="K79" s="48">
        <f>IF(COUNT($F79:$J79)=0,"",SUM($F79:$J79))</f>
        <v/>
      </c>
      <c r="L79" s="47">
        <f>IFERROR(IF(K79="","",ROUND(K79/$K$11*100,2)),"")</f>
        <v/>
      </c>
      <c r="M79" s="54">
        <f>IFERROR(IF(L79="","",ROUND(L79*$M$11,2)),"")</f>
        <v/>
      </c>
      <c r="N79" s="52" t="n"/>
      <c r="O79" s="49" t="n"/>
      <c r="P79" s="49" t="n"/>
      <c r="Q79" s="48">
        <f>IF(COUNT($N79:$P79)=0,"",SUM($N79:$P79))</f>
        <v/>
      </c>
      <c r="R79" s="47">
        <f>IFERROR(IF(Q79="","",ROUND(Q79/$Q$11*100,2)),"")</f>
        <v/>
      </c>
      <c r="S79" s="54">
        <f>IFERROR(IF(R79="","",ROUND(R79*$S$11,2)),"")</f>
        <v/>
      </c>
      <c r="T79" s="265" t="n"/>
      <c r="U79" s="46" t="n"/>
      <c r="V79" s="268" t="n"/>
      <c r="W79" s="272">
        <f>IF(COUNT($T79:$V79)=0,"",SUM($T79:$V79))</f>
        <v/>
      </c>
      <c r="X79" s="352">
        <f>IFERROR(IF(W79="","",ROUND((($T79/$T$11)*30 + ($U79/$U$11)*30 + ($V79/$V$11)*40),2)),"")</f>
        <v/>
      </c>
      <c r="Y79" s="54">
        <f>IFERROR(IF(X79="","",ROUND(X79*$Y$11,2)),"")</f>
        <v/>
      </c>
      <c r="Z79" s="55">
        <f>IFERROR(M79+S79+Y79,"")</f>
        <v/>
      </c>
      <c r="AA79" s="274">
        <f>IFERROR(VLOOKUP(Z79,'Helper(IMPORTANT!)'!$CQ$1:$CR$41,2,TRUE),"")</f>
        <v/>
      </c>
      <c r="AB79" s="170">
        <f t="array" ref="AB79">IF(AA79="", "", _xlfn.IFS(AA79&gt;=90, "A", AA79&gt;=80, "B", AA79&gt;=75, "C", AA79&gt;=65, "D", AA79&gt;=0, "E"))</f>
        <v/>
      </c>
      <c r="AD79" s="39" t="n"/>
      <c r="AG79" s="38" t="n"/>
      <c r="AH79" s="38" t="n"/>
      <c r="AI79" s="38" t="n"/>
    </row>
    <row r="80" ht="18" customHeight="1">
      <c r="A80" s="169" t="n">
        <v>17</v>
      </c>
      <c r="B80" s="442">
        <f>'INPUT DATA'!O27</f>
        <v/>
      </c>
      <c r="C80" s="673" t="n"/>
      <c r="D80" s="673" t="n"/>
      <c r="E80" s="674" t="n"/>
      <c r="F80" s="52" t="n"/>
      <c r="G80" s="49" t="n"/>
      <c r="H80" s="49" t="n"/>
      <c r="I80" s="49" t="n"/>
      <c r="J80" s="49" t="n"/>
      <c r="K80" s="48">
        <f>IF(COUNT($F80:$J80)=0,"",SUM($F80:$J80))</f>
        <v/>
      </c>
      <c r="L80" s="47">
        <f>IFERROR(IF(K80="","",ROUND(K80/$K$11*100,2)),"")</f>
        <v/>
      </c>
      <c r="M80" s="54">
        <f>IFERROR(IF(L80="","",ROUND(L80*$M$11,2)),"")</f>
        <v/>
      </c>
      <c r="N80" s="52" t="n"/>
      <c r="O80" s="49" t="n"/>
      <c r="P80" s="49" t="n"/>
      <c r="Q80" s="48">
        <f>IF(COUNT($N80:$P80)=0,"",SUM($N80:$P80))</f>
        <v/>
      </c>
      <c r="R80" s="47">
        <f>IFERROR(IF(Q80="","",ROUND(Q80/$Q$11*100,2)),"")</f>
        <v/>
      </c>
      <c r="S80" s="54">
        <f>IFERROR(IF(R80="","",ROUND(R80*$S$11,2)),"")</f>
        <v/>
      </c>
      <c r="T80" s="265" t="n"/>
      <c r="U80" s="46" t="n"/>
      <c r="V80" s="268" t="n"/>
      <c r="W80" s="272">
        <f>IF(COUNT($T80:$V80)=0,"",SUM($T80:$V80))</f>
        <v/>
      </c>
      <c r="X80" s="352">
        <f>IFERROR(IF(W80="","",ROUND((($T80/$T$11)*30 + ($U80/$U$11)*30 + ($V80/$V$11)*40),2)),"")</f>
        <v/>
      </c>
      <c r="Y80" s="54">
        <f>IFERROR(IF(X80="","",ROUND(X80*$Y$11,2)),"")</f>
        <v/>
      </c>
      <c r="Z80" s="55">
        <f>IFERROR(M80+S80+Y80,"")</f>
        <v/>
      </c>
      <c r="AA80" s="274">
        <f>IFERROR(VLOOKUP(Z80,'Helper(IMPORTANT!)'!$CQ$1:$CR$41,2,TRUE),"")</f>
        <v/>
      </c>
      <c r="AB80" s="170">
        <f t="array" ref="AB80">IF(AA80="", "", _xlfn.IFS(AA80&gt;=90, "A", AA80&gt;=80, "B", AA80&gt;=75, "C", AA80&gt;=65, "D", AA80&gt;=0, "E"))</f>
        <v/>
      </c>
      <c r="AD80" s="39" t="n"/>
      <c r="AG80" s="38" t="n"/>
      <c r="AH80" s="38" t="n"/>
      <c r="AI80" s="38" t="n"/>
    </row>
    <row r="81" ht="18" customHeight="1">
      <c r="A81" s="169" t="n">
        <v>18</v>
      </c>
      <c r="B81" s="442">
        <f>'INPUT DATA'!O28</f>
        <v/>
      </c>
      <c r="C81" s="673" t="n"/>
      <c r="D81" s="673" t="n"/>
      <c r="E81" s="674" t="n"/>
      <c r="F81" s="52" t="n"/>
      <c r="G81" s="49" t="n"/>
      <c r="H81" s="49" t="n"/>
      <c r="I81" s="49" t="n"/>
      <c r="J81" s="49" t="n"/>
      <c r="K81" s="48">
        <f>IF(COUNT($F81:$J81)=0,"",SUM($F81:$J81))</f>
        <v/>
      </c>
      <c r="L81" s="47">
        <f>IFERROR(IF(K81="","",ROUND(K81/$K$11*100,2)),"")</f>
        <v/>
      </c>
      <c r="M81" s="54">
        <f>IFERROR(IF(L81="","",ROUND(L81*$M$11,2)),"")</f>
        <v/>
      </c>
      <c r="N81" s="52" t="n"/>
      <c r="O81" s="49" t="n"/>
      <c r="P81" s="49" t="n"/>
      <c r="Q81" s="48">
        <f>IF(COUNT($N81:$P81)=0,"",SUM($N81:$P81))</f>
        <v/>
      </c>
      <c r="R81" s="47">
        <f>IFERROR(IF(Q81="","",ROUND(Q81/$Q$11*100,2)),"")</f>
        <v/>
      </c>
      <c r="S81" s="54">
        <f>IFERROR(IF(R81="","",ROUND(R81*$S$11,2)),"")</f>
        <v/>
      </c>
      <c r="T81" s="265" t="n"/>
      <c r="U81" s="46" t="n"/>
      <c r="V81" s="268" t="n"/>
      <c r="W81" s="272">
        <f>IF(COUNT($T81:$V81)=0,"",SUM($T81:$V81))</f>
        <v/>
      </c>
      <c r="X81" s="352">
        <f>IFERROR(IF(W81="","",ROUND((($T81/$T$11)*30 + ($U81/$U$11)*30 + ($V81/$V$11)*40),2)),"")</f>
        <v/>
      </c>
      <c r="Y81" s="54">
        <f>IFERROR(IF(X81="","",ROUND(X81*$Y$11,2)),"")</f>
        <v/>
      </c>
      <c r="Z81" s="55">
        <f>IFERROR(M81+S81+Y81,"")</f>
        <v/>
      </c>
      <c r="AA81" s="274">
        <f>IFERROR(VLOOKUP(Z81,'Helper(IMPORTANT!)'!$CQ$1:$CR$41,2,TRUE),"")</f>
        <v/>
      </c>
      <c r="AB81" s="170">
        <f t="array" ref="AB81">IF(AA81="", "", _xlfn.IFS(AA81&gt;=90, "A", AA81&gt;=80, "B", AA81&gt;=75, "C", AA81&gt;=65, "D", AA81&gt;=0, "E"))</f>
        <v/>
      </c>
      <c r="AD81" s="39" t="n"/>
      <c r="AG81" s="38" t="n"/>
      <c r="AH81" s="38" t="n"/>
      <c r="AI81" s="38" t="n"/>
    </row>
    <row r="82" ht="18" customHeight="1">
      <c r="A82" s="169" t="n">
        <v>19</v>
      </c>
      <c r="B82" s="442">
        <f>'INPUT DATA'!O29</f>
        <v/>
      </c>
      <c r="C82" s="673" t="n"/>
      <c r="D82" s="673" t="n"/>
      <c r="E82" s="674" t="n"/>
      <c r="F82" s="52" t="n"/>
      <c r="G82" s="49" t="n"/>
      <c r="H82" s="49" t="n"/>
      <c r="I82" s="49" t="n"/>
      <c r="J82" s="49" t="n"/>
      <c r="K82" s="48">
        <f>IF(COUNT($F82:$J82)=0,"",SUM($F82:$J82))</f>
        <v/>
      </c>
      <c r="L82" s="47">
        <f>IFERROR(IF(K82="","",ROUND(K82/$K$11*100,2)),"")</f>
        <v/>
      </c>
      <c r="M82" s="54">
        <f>IFERROR(IF(L82="","",ROUND(L82*$M$11,2)),"")</f>
        <v/>
      </c>
      <c r="N82" s="52" t="n"/>
      <c r="O82" s="49" t="n"/>
      <c r="P82" s="49" t="n"/>
      <c r="Q82" s="48">
        <f>IF(COUNT($N82:$P82)=0,"",SUM($N82:$P82))</f>
        <v/>
      </c>
      <c r="R82" s="47">
        <f>IFERROR(IF(Q82="","",ROUND(Q82/$Q$11*100,2)),"")</f>
        <v/>
      </c>
      <c r="S82" s="54">
        <f>IFERROR(IF(R82="","",ROUND(R82*$S$11,2)),"")</f>
        <v/>
      </c>
      <c r="T82" s="265" t="n"/>
      <c r="U82" s="46" t="n"/>
      <c r="V82" s="268" t="n"/>
      <c r="W82" s="272">
        <f>IF(COUNT($T82:$V82)=0,"",SUM($T82:$V82))</f>
        <v/>
      </c>
      <c r="X82" s="352">
        <f>IFERROR(IF(W82="","",ROUND((($T82/$T$11)*30 + ($U82/$U$11)*30 + ($V82/$V$11)*40),2)),"")</f>
        <v/>
      </c>
      <c r="Y82" s="54">
        <f>IFERROR(IF(X82="","",ROUND(X82*$Y$11,2)),"")</f>
        <v/>
      </c>
      <c r="Z82" s="55">
        <f>IFERROR(M82+S82+Y82,"")</f>
        <v/>
      </c>
      <c r="AA82" s="274">
        <f>IFERROR(VLOOKUP(Z82,'Helper(IMPORTANT!)'!$CQ$1:$CR$41,2,TRUE),"")</f>
        <v/>
      </c>
      <c r="AB82" s="170">
        <f t="array" ref="AB82">IF(AA82="", "", _xlfn.IFS(AA82&gt;=90, "A", AA82&gt;=80, "B", AA82&gt;=75, "C", AA82&gt;=65, "D", AA82&gt;=0, "E"))</f>
        <v/>
      </c>
      <c r="AD82" s="39" t="n"/>
      <c r="AG82" s="38" t="n"/>
      <c r="AH82" s="38" t="n"/>
      <c r="AI82" s="38" t="n"/>
    </row>
    <row r="83" ht="18" customHeight="1">
      <c r="A83" s="169" t="n">
        <v>20</v>
      </c>
      <c r="B83" s="442">
        <f>'INPUT DATA'!O30</f>
        <v/>
      </c>
      <c r="C83" s="673" t="n"/>
      <c r="D83" s="673" t="n"/>
      <c r="E83" s="674" t="n"/>
      <c r="F83" s="52" t="n"/>
      <c r="G83" s="49" t="n"/>
      <c r="H83" s="49" t="n"/>
      <c r="I83" s="49" t="n"/>
      <c r="J83" s="49" t="n"/>
      <c r="K83" s="48">
        <f>IF(COUNT($F83:$J83)=0,"",SUM($F83:$J83))</f>
        <v/>
      </c>
      <c r="L83" s="47">
        <f>IFERROR(IF(K83="","",ROUND(K83/$K$11*100,2)),"")</f>
        <v/>
      </c>
      <c r="M83" s="54">
        <f>IFERROR(IF(L83="","",ROUND(L83*$M$11,2)),"")</f>
        <v/>
      </c>
      <c r="N83" s="52" t="n"/>
      <c r="O83" s="49" t="n"/>
      <c r="P83" s="49" t="n"/>
      <c r="Q83" s="48">
        <f>IF(COUNT($N83:$P83)=0,"",SUM($N83:$P83))</f>
        <v/>
      </c>
      <c r="R83" s="47">
        <f>IFERROR(IF(Q83="","",ROUND(Q83/$Q$11*100,2)),"")</f>
        <v/>
      </c>
      <c r="S83" s="54">
        <f>IFERROR(IF(R83="","",ROUND(R83*$S$11,2)),"")</f>
        <v/>
      </c>
      <c r="T83" s="265" t="n"/>
      <c r="U83" s="46" t="n"/>
      <c r="V83" s="268" t="n"/>
      <c r="W83" s="272">
        <f>IF(COUNT($T83:$V83)=0,"",SUM($T83:$V83))</f>
        <v/>
      </c>
      <c r="X83" s="352">
        <f>IFERROR(IF(W83="","",ROUND((($T83/$T$11)*30 + ($U83/$U$11)*30 + ($V83/$V$11)*40),2)),"")</f>
        <v/>
      </c>
      <c r="Y83" s="54">
        <f>IFERROR(IF(X83="","",ROUND(X83*$Y$11,2)),"")</f>
        <v/>
      </c>
      <c r="Z83" s="55">
        <f>IFERROR(M83+S83+Y83,"")</f>
        <v/>
      </c>
      <c r="AA83" s="274">
        <f>IFERROR(VLOOKUP(Z83,'Helper(IMPORTANT!)'!$CQ$1:$CR$41,2,TRUE),"")</f>
        <v/>
      </c>
      <c r="AB83" s="170">
        <f t="array" ref="AB83">IF(AA83="", "", _xlfn.IFS(AA83&gt;=90, "A", AA83&gt;=80, "B", AA83&gt;=75, "C", AA83&gt;=65, "D", AA83&gt;=0, "E"))</f>
        <v/>
      </c>
      <c r="AD83" s="39" t="n"/>
      <c r="AG83" s="38" t="n"/>
      <c r="AH83" s="38" t="n"/>
      <c r="AI83" s="38" t="n"/>
    </row>
    <row r="84" ht="18" customHeight="1">
      <c r="A84" s="169" t="n">
        <v>21</v>
      </c>
      <c r="B84" s="442">
        <f>'INPUT DATA'!O31</f>
        <v/>
      </c>
      <c r="C84" s="673" t="n"/>
      <c r="D84" s="673" t="n"/>
      <c r="E84" s="674" t="n"/>
      <c r="F84" s="52" t="n"/>
      <c r="G84" s="49" t="n"/>
      <c r="H84" s="49" t="n"/>
      <c r="I84" s="49" t="n"/>
      <c r="J84" s="49" t="n"/>
      <c r="K84" s="48">
        <f>IF(COUNT($F84:$J84)=0,"",SUM($F84:$J84))</f>
        <v/>
      </c>
      <c r="L84" s="47">
        <f>IFERROR(IF(K84="","",ROUND(K84/$K$11*100,2)),"")</f>
        <v/>
      </c>
      <c r="M84" s="54">
        <f>IFERROR(IF(L84="","",ROUND(L84*$M$11,2)),"")</f>
        <v/>
      </c>
      <c r="N84" s="52" t="n"/>
      <c r="O84" s="49" t="n"/>
      <c r="P84" s="49" t="n"/>
      <c r="Q84" s="48">
        <f>IF(COUNT($N84:$P84)=0,"",SUM($N84:$P84))</f>
        <v/>
      </c>
      <c r="R84" s="47">
        <f>IFERROR(IF(Q84="","",ROUND(Q84/$Q$11*100,2)),"")</f>
        <v/>
      </c>
      <c r="S84" s="54">
        <f>IFERROR(IF(R84="","",ROUND(R84*$S$11,2)),"")</f>
        <v/>
      </c>
      <c r="T84" s="265" t="n"/>
      <c r="U84" s="46" t="n"/>
      <c r="V84" s="268" t="n"/>
      <c r="W84" s="272">
        <f>IF(COUNT($T84:$V84)=0,"",SUM($T84:$V84))</f>
        <v/>
      </c>
      <c r="X84" s="352">
        <f>IFERROR(IF(W84="","",ROUND((($T84/$T$11)*30 + ($U84/$U$11)*30 + ($V84/$V$11)*40),2)),"")</f>
        <v/>
      </c>
      <c r="Y84" s="54">
        <f>IFERROR(IF(X84="","",ROUND(X84*$Y$11,2)),"")</f>
        <v/>
      </c>
      <c r="Z84" s="55">
        <f>IFERROR(M84+S84+Y84,"")</f>
        <v/>
      </c>
      <c r="AA84" s="274">
        <f>IFERROR(VLOOKUP(Z84,'Helper(IMPORTANT!)'!$CQ$1:$CR$41,2,TRUE),"")</f>
        <v/>
      </c>
      <c r="AB84" s="170">
        <f t="array" ref="AB84">IF(AA84="", "", _xlfn.IFS(AA84&gt;=90, "A", AA84&gt;=80, "B", AA84&gt;=75, "C", AA84&gt;=65, "D", AA84&gt;=0, "E"))</f>
        <v/>
      </c>
      <c r="AD84" s="39" t="n"/>
      <c r="AG84" s="38" t="n"/>
      <c r="AH84" s="38" t="n"/>
      <c r="AI84" s="38" t="n"/>
    </row>
    <row r="85" ht="18" customHeight="1">
      <c r="A85" s="169" t="n">
        <v>22</v>
      </c>
      <c r="B85" s="442">
        <f>'INPUT DATA'!O32</f>
        <v/>
      </c>
      <c r="C85" s="673" t="n"/>
      <c r="D85" s="673" t="n"/>
      <c r="E85" s="674" t="n"/>
      <c r="F85" s="52" t="n"/>
      <c r="G85" s="49" t="n"/>
      <c r="H85" s="49" t="n"/>
      <c r="I85" s="49" t="n"/>
      <c r="J85" s="49" t="n"/>
      <c r="K85" s="48">
        <f>IF(COUNT($F85:$J85)=0,"",SUM($F85:$J85))</f>
        <v/>
      </c>
      <c r="L85" s="47">
        <f>IFERROR(IF(K85="","",ROUND(K85/$K$11*100,2)),"")</f>
        <v/>
      </c>
      <c r="M85" s="54">
        <f>IFERROR(IF(L85="","",ROUND(L85*$M$11,2)),"")</f>
        <v/>
      </c>
      <c r="N85" s="52" t="n"/>
      <c r="O85" s="49" t="n"/>
      <c r="P85" s="49" t="n"/>
      <c r="Q85" s="48">
        <f>IF(COUNT($N85:$P85)=0,"",SUM($N85:$P85))</f>
        <v/>
      </c>
      <c r="R85" s="47">
        <f>IFERROR(IF(Q85="","",ROUND(Q85/$Q$11*100,2)),"")</f>
        <v/>
      </c>
      <c r="S85" s="54">
        <f>IFERROR(IF(R85="","",ROUND(R85*$S$11,2)),"")</f>
        <v/>
      </c>
      <c r="T85" s="265" t="n"/>
      <c r="U85" s="46" t="n"/>
      <c r="V85" s="268" t="n"/>
      <c r="W85" s="272">
        <f>IF(COUNT($T85:$V85)=0,"",SUM($T85:$V85))</f>
        <v/>
      </c>
      <c r="X85" s="352">
        <f>IFERROR(IF(W85="","",ROUND((($T85/$T$11)*30 + ($U85/$U$11)*30 + ($V85/$V$11)*40),2)),"")</f>
        <v/>
      </c>
      <c r="Y85" s="54">
        <f>IFERROR(IF(X85="","",ROUND(X85*$Y$11,2)),"")</f>
        <v/>
      </c>
      <c r="Z85" s="55">
        <f>IFERROR(M85+S85+Y85,"")</f>
        <v/>
      </c>
      <c r="AA85" s="274">
        <f>IFERROR(VLOOKUP(Z85,'Helper(IMPORTANT!)'!$CQ$1:$CR$41,2,TRUE),"")</f>
        <v/>
      </c>
      <c r="AB85" s="170">
        <f t="array" ref="AB85">IF(AA85="", "", _xlfn.IFS(AA85&gt;=90, "A", AA85&gt;=80, "B", AA85&gt;=75, "C", AA85&gt;=65, "D", AA85&gt;=0, "E"))</f>
        <v/>
      </c>
      <c r="AD85" s="39" t="n"/>
      <c r="AG85" s="38" t="n"/>
      <c r="AH85" s="38" t="n"/>
      <c r="AI85" s="38" t="n"/>
    </row>
    <row r="86" ht="18" customHeight="1">
      <c r="A86" s="169" t="n">
        <v>23</v>
      </c>
      <c r="B86" s="442">
        <f>'INPUT DATA'!O33</f>
        <v/>
      </c>
      <c r="C86" s="673" t="n"/>
      <c r="D86" s="673" t="n"/>
      <c r="E86" s="674" t="n"/>
      <c r="F86" s="52" t="n"/>
      <c r="G86" s="49" t="n"/>
      <c r="H86" s="49" t="n"/>
      <c r="I86" s="49" t="n"/>
      <c r="J86" s="49" t="n"/>
      <c r="K86" s="48">
        <f>IF(COUNT($F86:$J86)=0,"",SUM($F86:$J86))</f>
        <v/>
      </c>
      <c r="L86" s="47">
        <f>IFERROR(IF(K86="","",ROUND(K86/$K$11*100,2)),"")</f>
        <v/>
      </c>
      <c r="M86" s="54">
        <f>IFERROR(IF(L86="","",ROUND(L86*$M$11,2)),"")</f>
        <v/>
      </c>
      <c r="N86" s="52" t="n"/>
      <c r="O86" s="49" t="n"/>
      <c r="P86" s="49" t="n"/>
      <c r="Q86" s="48">
        <f>IF(COUNT($N86:$P86)=0,"",SUM($N86:$P86))</f>
        <v/>
      </c>
      <c r="R86" s="47">
        <f>IFERROR(IF(Q86="","",ROUND(Q86/$Q$11*100,2)),"")</f>
        <v/>
      </c>
      <c r="S86" s="54">
        <f>IFERROR(IF(R86="","",ROUND(R86*$S$11,2)),"")</f>
        <v/>
      </c>
      <c r="T86" s="265" t="n"/>
      <c r="U86" s="46" t="n"/>
      <c r="V86" s="268" t="n"/>
      <c r="W86" s="272">
        <f>IF(COUNT($T86:$V86)=0,"",SUM($T86:$V86))</f>
        <v/>
      </c>
      <c r="X86" s="352">
        <f>IFERROR(IF(W86="","",ROUND((($T86/$T$11)*30 + ($U86/$U$11)*30 + ($V86/$V$11)*40),2)),"")</f>
        <v/>
      </c>
      <c r="Y86" s="54">
        <f>IFERROR(IF(X86="","",ROUND(X86*$Y$11,2)),"")</f>
        <v/>
      </c>
      <c r="Z86" s="55">
        <f>IFERROR(M86+S86+Y86,"")</f>
        <v/>
      </c>
      <c r="AA86" s="274">
        <f>IFERROR(VLOOKUP(Z86,'Helper(IMPORTANT!)'!$CQ$1:$CR$41,2,TRUE),"")</f>
        <v/>
      </c>
      <c r="AB86" s="170">
        <f t="array" ref="AB86">IF(AA86="", "", _xlfn.IFS(AA86&gt;=90, "A", AA86&gt;=80, "B", AA86&gt;=75, "C", AA86&gt;=65, "D", AA86&gt;=0, "E"))</f>
        <v/>
      </c>
      <c r="AD86" s="39" t="n"/>
      <c r="AG86" s="38" t="n"/>
      <c r="AH86" s="38" t="n"/>
      <c r="AI86" s="38" t="n"/>
    </row>
    <row r="87" ht="18" customHeight="1">
      <c r="A87" s="169" t="n">
        <v>24</v>
      </c>
      <c r="B87" s="442">
        <f>'INPUT DATA'!O34</f>
        <v/>
      </c>
      <c r="C87" s="673" t="n"/>
      <c r="D87" s="673" t="n"/>
      <c r="E87" s="674" t="n"/>
      <c r="F87" s="52" t="n"/>
      <c r="G87" s="49" t="n"/>
      <c r="H87" s="49" t="n"/>
      <c r="I87" s="49" t="n"/>
      <c r="J87" s="49" t="n"/>
      <c r="K87" s="48">
        <f>IF(COUNT($F87:$J87)=0,"",SUM($F87:$J87))</f>
        <v/>
      </c>
      <c r="L87" s="47">
        <f>IFERROR(IF(K87="","",ROUND(K87/$K$11*100,2)),"")</f>
        <v/>
      </c>
      <c r="M87" s="54">
        <f>IFERROR(IF(L87="","",ROUND(L87*$M$11,2)),"")</f>
        <v/>
      </c>
      <c r="N87" s="52" t="n"/>
      <c r="O87" s="49" t="n"/>
      <c r="P87" s="49" t="n"/>
      <c r="Q87" s="48">
        <f>IF(COUNT($N87:$P87)=0,"",SUM($N87:$P87))</f>
        <v/>
      </c>
      <c r="R87" s="47">
        <f>IFERROR(IF(Q87="","",ROUND(Q87/$Q$11*100,2)),"")</f>
        <v/>
      </c>
      <c r="S87" s="54">
        <f>IFERROR(IF(R87="","",ROUND(R87*$S$11,2)),"")</f>
        <v/>
      </c>
      <c r="T87" s="265" t="n"/>
      <c r="U87" s="46" t="n"/>
      <c r="V87" s="268" t="n"/>
      <c r="W87" s="272">
        <f>IF(COUNT($T87:$V87)=0,"",SUM($T87:$V87))</f>
        <v/>
      </c>
      <c r="X87" s="352">
        <f>IFERROR(IF(W87="","",ROUND((($T87/$T$11)*30 + ($U87/$U$11)*30 + ($V87/$V$11)*40),2)),"")</f>
        <v/>
      </c>
      <c r="Y87" s="54">
        <f>IFERROR(IF(X87="","",ROUND(X87*$Y$11,2)),"")</f>
        <v/>
      </c>
      <c r="Z87" s="55">
        <f>IFERROR(M87+S87+Y87,"")</f>
        <v/>
      </c>
      <c r="AA87" s="274">
        <f>IFERROR(VLOOKUP(Z87,'Helper(IMPORTANT!)'!$CQ$1:$CR$41,2,TRUE),"")</f>
        <v/>
      </c>
      <c r="AB87" s="170">
        <f t="array" ref="AB87">IF(AA87="", "", _xlfn.IFS(AA87&gt;=90, "A", AA87&gt;=80, "B", AA87&gt;=75, "C", AA87&gt;=65, "D", AA87&gt;=0, "E"))</f>
        <v/>
      </c>
      <c r="AD87" s="39" t="n"/>
      <c r="AG87" s="38" t="n"/>
      <c r="AH87" s="38" t="n"/>
      <c r="AI87" s="38" t="n"/>
    </row>
    <row r="88" ht="18" customHeight="1">
      <c r="A88" s="169" t="n">
        <v>25</v>
      </c>
      <c r="B88" s="442">
        <f>'INPUT DATA'!O35</f>
        <v/>
      </c>
      <c r="C88" s="673" t="n"/>
      <c r="D88" s="673" t="n"/>
      <c r="E88" s="674" t="n"/>
      <c r="F88" s="52" t="n"/>
      <c r="G88" s="49" t="n"/>
      <c r="H88" s="49" t="n"/>
      <c r="I88" s="49" t="n"/>
      <c r="J88" s="49" t="n"/>
      <c r="K88" s="48">
        <f>IF(COUNT($F88:$J88)=0,"",SUM($F88:$J88))</f>
        <v/>
      </c>
      <c r="L88" s="47">
        <f>IFERROR(IF(K88="","",ROUND(K88/$K$11*100,2)),"")</f>
        <v/>
      </c>
      <c r="M88" s="54">
        <f>IFERROR(IF(L88="","",ROUND(L88*$M$11,2)),"")</f>
        <v/>
      </c>
      <c r="N88" s="52" t="n"/>
      <c r="O88" s="49" t="n"/>
      <c r="P88" s="49" t="n"/>
      <c r="Q88" s="48">
        <f>IF(COUNT($N88:$P88)=0,"",SUM($N88:$P88))</f>
        <v/>
      </c>
      <c r="R88" s="47">
        <f>IFERROR(IF(Q88="","",ROUND(Q88/$Q$11*100,2)),"")</f>
        <v/>
      </c>
      <c r="S88" s="54">
        <f>IFERROR(IF(R88="","",ROUND(R88*$S$11,2)),"")</f>
        <v/>
      </c>
      <c r="T88" s="265" t="n"/>
      <c r="U88" s="46" t="n"/>
      <c r="V88" s="268" t="n"/>
      <c r="W88" s="272">
        <f>IF(COUNT($T88:$V88)=0,"",SUM($T88:$V88))</f>
        <v/>
      </c>
      <c r="X88" s="352">
        <f>IFERROR(IF(W88="","",ROUND((($T88/$T$11)*30 + ($U88/$U$11)*30 + ($V88/$V$11)*40),2)),"")</f>
        <v/>
      </c>
      <c r="Y88" s="54">
        <f>IFERROR(IF(X88="","",ROUND(X88*$Y$11,2)),"")</f>
        <v/>
      </c>
      <c r="Z88" s="55">
        <f>IFERROR(M88+S88+Y88,"")</f>
        <v/>
      </c>
      <c r="AA88" s="274">
        <f>IFERROR(VLOOKUP(Z88,'Helper(IMPORTANT!)'!$CQ$1:$CR$41,2,TRUE),"")</f>
        <v/>
      </c>
      <c r="AB88" s="170">
        <f t="array" ref="AB88">IF(AA88="", "", _xlfn.IFS(AA88&gt;=90, "A", AA88&gt;=80, "B", AA88&gt;=75, "C", AA88&gt;=65, "D", AA88&gt;=0, "E"))</f>
        <v/>
      </c>
      <c r="AD88" s="39" t="n"/>
      <c r="AG88" s="38" t="n"/>
      <c r="AH88" s="38" t="n"/>
      <c r="AI88" s="38" t="n"/>
    </row>
    <row r="89" ht="18" customHeight="1">
      <c r="A89" s="169" t="n">
        <v>26</v>
      </c>
      <c r="B89" s="442">
        <f>'INPUT DATA'!O36</f>
        <v/>
      </c>
      <c r="C89" s="673" t="n"/>
      <c r="D89" s="673" t="n"/>
      <c r="E89" s="674" t="n"/>
      <c r="F89" s="52" t="n"/>
      <c r="G89" s="49" t="n"/>
      <c r="H89" s="49" t="n"/>
      <c r="I89" s="49" t="n"/>
      <c r="J89" s="49" t="n"/>
      <c r="K89" s="48">
        <f>IF(COUNT($F89:$J89)=0,"",SUM($F89:$J89))</f>
        <v/>
      </c>
      <c r="L89" s="47">
        <f>IFERROR(IF(K89="","",ROUND(K89/$K$11*100,2)),"")</f>
        <v/>
      </c>
      <c r="M89" s="54">
        <f>IFERROR(IF(L89="","",ROUND(L89*$M$11,2)),"")</f>
        <v/>
      </c>
      <c r="N89" s="52" t="n"/>
      <c r="O89" s="49" t="n"/>
      <c r="P89" s="49" t="n"/>
      <c r="Q89" s="48">
        <f>IF(COUNT($N89:$P89)=0,"",SUM($N89:$P89))</f>
        <v/>
      </c>
      <c r="R89" s="47">
        <f>IFERROR(IF(Q89="","",ROUND(Q89/$Q$11*100,2)),"")</f>
        <v/>
      </c>
      <c r="S89" s="54">
        <f>IFERROR(IF(R89="","",ROUND(R89*$S$11,2)),"")</f>
        <v/>
      </c>
      <c r="T89" s="265" t="n"/>
      <c r="U89" s="46" t="n"/>
      <c r="V89" s="268" t="n"/>
      <c r="W89" s="272">
        <f>IF(COUNT($T89:$V89)=0,"",SUM($T89:$V89))</f>
        <v/>
      </c>
      <c r="X89" s="352">
        <f>IFERROR(IF(W89="","",ROUND((($T89/$T$11)*30 + ($U89/$U$11)*30 + ($V89/$V$11)*40),2)),"")</f>
        <v/>
      </c>
      <c r="Y89" s="54">
        <f>IFERROR(IF(X89="","",ROUND(X89*$Y$11,2)),"")</f>
        <v/>
      </c>
      <c r="Z89" s="55">
        <f>IFERROR(M89+S89+Y89,"")</f>
        <v/>
      </c>
      <c r="AA89" s="274">
        <f>IFERROR(VLOOKUP(Z89,'Helper(IMPORTANT!)'!$CQ$1:$CR$41,2,TRUE),"")</f>
        <v/>
      </c>
      <c r="AB89" s="170">
        <f t="array" ref="AB89">IF(AA89="", "", _xlfn.IFS(AA89&gt;=90, "A", AA89&gt;=80, "B", AA89&gt;=75, "C", AA89&gt;=65, "D", AA89&gt;=0, "E"))</f>
        <v/>
      </c>
      <c r="AD89" s="39" t="n"/>
      <c r="AG89" s="38" t="n"/>
      <c r="AH89" s="38" t="n"/>
      <c r="AI89" s="38" t="n"/>
    </row>
    <row r="90" ht="18" customHeight="1">
      <c r="A90" s="169" t="n">
        <v>27</v>
      </c>
      <c r="B90" s="442">
        <f>'INPUT DATA'!O37</f>
        <v/>
      </c>
      <c r="C90" s="673" t="n"/>
      <c r="D90" s="673" t="n"/>
      <c r="E90" s="674" t="n"/>
      <c r="F90" s="52" t="n"/>
      <c r="G90" s="49" t="n"/>
      <c r="H90" s="49" t="n"/>
      <c r="I90" s="49" t="n"/>
      <c r="J90" s="49" t="n"/>
      <c r="K90" s="48">
        <f>IF(COUNT($F90:$J90)=0,"",SUM($F90:$J90))</f>
        <v/>
      </c>
      <c r="L90" s="47">
        <f>IFERROR(IF(K90="","",ROUND(K90/$K$11*100,2)),"")</f>
        <v/>
      </c>
      <c r="M90" s="54">
        <f>IFERROR(IF(L90="","",ROUND(L90*$M$11,2)),"")</f>
        <v/>
      </c>
      <c r="N90" s="52" t="n"/>
      <c r="O90" s="49" t="n"/>
      <c r="P90" s="49" t="n"/>
      <c r="Q90" s="48">
        <f>IF(COUNT($N90:$P90)=0,"",SUM($N90:$P90))</f>
        <v/>
      </c>
      <c r="R90" s="47">
        <f>IFERROR(IF(Q90="","",ROUND(Q90/$Q$11*100,2)),"")</f>
        <v/>
      </c>
      <c r="S90" s="54">
        <f>IFERROR(IF(R90="","",ROUND(R90*$S$11,2)),"")</f>
        <v/>
      </c>
      <c r="T90" s="265" t="n"/>
      <c r="U90" s="46" t="n"/>
      <c r="V90" s="268" t="n"/>
      <c r="W90" s="272">
        <f>IF(COUNT($T90:$V90)=0,"",SUM($T90:$V90))</f>
        <v/>
      </c>
      <c r="X90" s="352">
        <f>IFERROR(IF(W90="","",ROUND((($T90/$T$11)*30 + ($U90/$U$11)*30 + ($V90/$V$11)*40),2)),"")</f>
        <v/>
      </c>
      <c r="Y90" s="54">
        <f>IFERROR(IF(X90="","",ROUND(X90*$Y$11,2)),"")</f>
        <v/>
      </c>
      <c r="Z90" s="55">
        <f>IFERROR(M90+S90+Y90,"")</f>
        <v/>
      </c>
      <c r="AA90" s="274">
        <f>IFERROR(VLOOKUP(Z90,'Helper(IMPORTANT!)'!$CQ$1:$CR$41,2,TRUE),"")</f>
        <v/>
      </c>
      <c r="AB90" s="170">
        <f t="array" ref="AB90">IF(AA90="", "", _xlfn.IFS(AA90&gt;=90, "A", AA90&gt;=80, "B", AA90&gt;=75, "C", AA90&gt;=65, "D", AA90&gt;=0, "E"))</f>
        <v/>
      </c>
      <c r="AD90" s="39" t="n"/>
      <c r="AG90" s="38" t="n"/>
      <c r="AH90" s="38" t="n"/>
      <c r="AI90" s="38" t="n"/>
    </row>
    <row r="91" ht="18" customHeight="1">
      <c r="A91" s="169" t="n">
        <v>28</v>
      </c>
      <c r="B91" s="442">
        <f>'INPUT DATA'!O38</f>
        <v/>
      </c>
      <c r="C91" s="673" t="n"/>
      <c r="D91" s="673" t="n"/>
      <c r="E91" s="674" t="n"/>
      <c r="F91" s="52" t="n"/>
      <c r="G91" s="49" t="n"/>
      <c r="H91" s="49" t="n"/>
      <c r="I91" s="49" t="n"/>
      <c r="J91" s="49" t="n"/>
      <c r="K91" s="48">
        <f>IF(COUNT($F91:$J91)=0,"",SUM($F91:$J91))</f>
        <v/>
      </c>
      <c r="L91" s="47">
        <f>IFERROR(IF(K91="","",ROUND(K91/$K$11*100,2)),"")</f>
        <v/>
      </c>
      <c r="M91" s="54">
        <f>IFERROR(IF(L91="","",ROUND(L91*$M$11,2)),"")</f>
        <v/>
      </c>
      <c r="N91" s="52" t="n"/>
      <c r="O91" s="49" t="n"/>
      <c r="P91" s="49" t="n"/>
      <c r="Q91" s="48">
        <f>IF(COUNT($N91:$P91)=0,"",SUM($N91:$P91))</f>
        <v/>
      </c>
      <c r="R91" s="47">
        <f>IFERROR(IF(Q91="","",ROUND(Q91/$Q$11*100,2)),"")</f>
        <v/>
      </c>
      <c r="S91" s="54">
        <f>IFERROR(IF(R91="","",ROUND(R91*$S$11,2)),"")</f>
        <v/>
      </c>
      <c r="T91" s="265" t="n"/>
      <c r="U91" s="46" t="n"/>
      <c r="V91" s="268" t="n"/>
      <c r="W91" s="272">
        <f>IF(COUNT($T91:$V91)=0,"",SUM($T91:$V91))</f>
        <v/>
      </c>
      <c r="X91" s="352">
        <f>IFERROR(IF(W91="","",ROUND((($T91/$T$11)*30 + ($U91/$U$11)*30 + ($V91/$V$11)*40),2)),"")</f>
        <v/>
      </c>
      <c r="Y91" s="54">
        <f>IFERROR(IF(X91="","",ROUND(X91*$Y$11,2)),"")</f>
        <v/>
      </c>
      <c r="Z91" s="55">
        <f>IFERROR(M91+S91+Y91,"")</f>
        <v/>
      </c>
      <c r="AA91" s="274">
        <f>IFERROR(VLOOKUP(Z91,'Helper(IMPORTANT!)'!$CQ$1:$CR$41,2,TRUE),"")</f>
        <v/>
      </c>
      <c r="AB91" s="170">
        <f t="array" ref="AB91">IF(AA91="", "", _xlfn.IFS(AA91&gt;=90, "A", AA91&gt;=80, "B", AA91&gt;=75, "C", AA91&gt;=65, "D", AA91&gt;=0, "E"))</f>
        <v/>
      </c>
      <c r="AD91" s="39" t="n"/>
      <c r="AG91" s="38" t="n"/>
      <c r="AH91" s="38" t="n"/>
      <c r="AI91" s="38" t="n"/>
    </row>
    <row r="92" ht="18" customHeight="1">
      <c r="A92" s="169" t="n">
        <v>29</v>
      </c>
      <c r="B92" s="442">
        <f>'INPUT DATA'!O39</f>
        <v/>
      </c>
      <c r="C92" s="673" t="n"/>
      <c r="D92" s="673" t="n"/>
      <c r="E92" s="674" t="n"/>
      <c r="F92" s="52" t="n"/>
      <c r="G92" s="49" t="n"/>
      <c r="H92" s="49" t="n"/>
      <c r="I92" s="49" t="n"/>
      <c r="J92" s="49" t="n"/>
      <c r="K92" s="48">
        <f>IF(COUNT($F92:$J92)=0,"",SUM($F92:$J92))</f>
        <v/>
      </c>
      <c r="L92" s="47">
        <f>IFERROR(IF(K92="","",ROUND(K92/$K$11*100,2)),"")</f>
        <v/>
      </c>
      <c r="M92" s="54">
        <f>IFERROR(IF(L92="","",ROUND(L92*$M$11,2)),"")</f>
        <v/>
      </c>
      <c r="N92" s="52" t="n"/>
      <c r="O92" s="49" t="n"/>
      <c r="P92" s="49" t="n"/>
      <c r="Q92" s="48">
        <f>IF(COUNT($N92:$P92)=0,"",SUM($N92:$P92))</f>
        <v/>
      </c>
      <c r="R92" s="47">
        <f>IFERROR(IF(Q92="","",ROUND(Q92/$Q$11*100,2)),"")</f>
        <v/>
      </c>
      <c r="S92" s="54">
        <f>IFERROR(IF(R92="","",ROUND(R92*$S$11,2)),"")</f>
        <v/>
      </c>
      <c r="T92" s="265" t="n"/>
      <c r="U92" s="46" t="n"/>
      <c r="V92" s="268" t="n"/>
      <c r="W92" s="272">
        <f>IF(COUNT($T92:$V92)=0,"",SUM($T92:$V92))</f>
        <v/>
      </c>
      <c r="X92" s="352">
        <f>IFERROR(IF(W92="","",ROUND((($T92/$T$11)*30 + ($U92/$U$11)*30 + ($V92/$V$11)*40),2)),"")</f>
        <v/>
      </c>
      <c r="Y92" s="54">
        <f>IFERROR(IF(X92="","",ROUND(X92*$Y$11,2)),"")</f>
        <v/>
      </c>
      <c r="Z92" s="55">
        <f>IFERROR(M92+S92+Y92,"")</f>
        <v/>
      </c>
      <c r="AA92" s="274">
        <f>IFERROR(VLOOKUP(Z92,'Helper(IMPORTANT!)'!$CQ$1:$CR$41,2,TRUE),"")</f>
        <v/>
      </c>
      <c r="AB92" s="170">
        <f t="array" ref="AB92">IF(AA92="", "", _xlfn.IFS(AA92&gt;=90, "A", AA92&gt;=80, "B", AA92&gt;=75, "C", AA92&gt;=65, "D", AA92&gt;=0, "E"))</f>
        <v/>
      </c>
      <c r="AD92" s="39" t="n"/>
      <c r="AG92" s="38" t="n"/>
      <c r="AH92" s="38" t="n"/>
      <c r="AI92" s="38" t="n"/>
    </row>
    <row r="93" ht="18" customHeight="1">
      <c r="A93" s="169" t="n">
        <v>30</v>
      </c>
      <c r="B93" s="442">
        <f>'INPUT DATA'!O40</f>
        <v/>
      </c>
      <c r="C93" s="673" t="n"/>
      <c r="D93" s="673" t="n"/>
      <c r="E93" s="674" t="n"/>
      <c r="F93" s="52" t="n"/>
      <c r="G93" s="49" t="n"/>
      <c r="H93" s="49" t="n"/>
      <c r="I93" s="49" t="n"/>
      <c r="J93" s="49" t="n"/>
      <c r="K93" s="48">
        <f>IF(COUNT($F93:$J93)=0,"",SUM($F93:$J93))</f>
        <v/>
      </c>
      <c r="L93" s="47">
        <f>IFERROR(IF(K93="","",ROUND(K93/$K$11*100,2)),"")</f>
        <v/>
      </c>
      <c r="M93" s="54">
        <f>IFERROR(IF(L93="","",ROUND(L93*$M$11,2)),"")</f>
        <v/>
      </c>
      <c r="N93" s="52" t="n"/>
      <c r="O93" s="49" t="n"/>
      <c r="P93" s="49" t="n"/>
      <c r="Q93" s="48">
        <f>IF(COUNT($N93:$P93)=0,"",SUM($N93:$P93))</f>
        <v/>
      </c>
      <c r="R93" s="47">
        <f>IFERROR(IF(Q93="","",ROUND(Q93/$Q$11*100,2)),"")</f>
        <v/>
      </c>
      <c r="S93" s="54">
        <f>IFERROR(IF(R93="","",ROUND(R93*$S$11,2)),"")</f>
        <v/>
      </c>
      <c r="T93" s="265" t="n"/>
      <c r="U93" s="46" t="n"/>
      <c r="V93" s="268" t="n"/>
      <c r="W93" s="272">
        <f>IF(COUNT($T93:$V93)=0,"",SUM($T93:$V93))</f>
        <v/>
      </c>
      <c r="X93" s="352">
        <f>IFERROR(IF(W93="","",ROUND((($T93/$T$11)*30 + ($U93/$U$11)*30 + ($V93/$V$11)*40),2)),"")</f>
        <v/>
      </c>
      <c r="Y93" s="54">
        <f>IFERROR(IF(X93="","",ROUND(X93*$Y$11,2)),"")</f>
        <v/>
      </c>
      <c r="Z93" s="55">
        <f>IFERROR(M93+S93+Y93,"")</f>
        <v/>
      </c>
      <c r="AA93" s="274">
        <f>IFERROR(VLOOKUP(Z93,'Helper(IMPORTANT!)'!$CQ$1:$CR$41,2,TRUE),"")</f>
        <v/>
      </c>
      <c r="AB93" s="170">
        <f t="array" ref="AB93">IF(AA93="", "", _xlfn.IFS(AA93&gt;=90, "A", AA93&gt;=80, "B", AA93&gt;=75, "C", AA93&gt;=65, "D", AA93&gt;=0, "E"))</f>
        <v/>
      </c>
      <c r="AD93" s="39" t="n"/>
      <c r="AG93" s="38" t="n"/>
      <c r="AH93" s="38" t="n"/>
      <c r="AI93" s="38" t="n"/>
    </row>
    <row r="94" ht="18" customHeight="1">
      <c r="A94" s="169" t="n">
        <v>31</v>
      </c>
      <c r="B94" s="442">
        <f>'INPUT DATA'!O41</f>
        <v/>
      </c>
      <c r="C94" s="673" t="n"/>
      <c r="D94" s="673" t="n"/>
      <c r="E94" s="674" t="n"/>
      <c r="F94" s="52" t="n"/>
      <c r="G94" s="49" t="n"/>
      <c r="H94" s="49" t="n"/>
      <c r="I94" s="49" t="n"/>
      <c r="J94" s="49" t="n"/>
      <c r="K94" s="48">
        <f>IF(COUNT($F94:$J94)=0,"",SUM($F94:$J94))</f>
        <v/>
      </c>
      <c r="L94" s="47">
        <f>IFERROR(IF(K94="","",ROUND(K94/$K$11*100,2)),"")</f>
        <v/>
      </c>
      <c r="M94" s="54">
        <f>IFERROR(IF(L94="","",ROUND(L94*$M$11,2)),"")</f>
        <v/>
      </c>
      <c r="N94" s="52" t="n"/>
      <c r="O94" s="49" t="n"/>
      <c r="P94" s="49" t="n"/>
      <c r="Q94" s="48">
        <f>IF(COUNT($N94:$P94)=0,"",SUM($N94:$P94))</f>
        <v/>
      </c>
      <c r="R94" s="47">
        <f>IFERROR(IF(Q94="","",ROUND(Q94/$Q$11*100,2)),"")</f>
        <v/>
      </c>
      <c r="S94" s="54">
        <f>IFERROR(IF(R94="","",ROUND(R94*$S$11,2)),"")</f>
        <v/>
      </c>
      <c r="T94" s="265" t="n"/>
      <c r="U94" s="46" t="n"/>
      <c r="V94" s="268" t="n"/>
      <c r="W94" s="272">
        <f>IF(COUNT($T94:$V94)=0,"",SUM($T94:$V94))</f>
        <v/>
      </c>
      <c r="X94" s="352">
        <f>IFERROR(IF(W94="","",ROUND((($T94/$T$11)*30 + ($U94/$U$11)*30 + ($V94/$V$11)*40),2)),"")</f>
        <v/>
      </c>
      <c r="Y94" s="54">
        <f>IFERROR(IF(X94="","",ROUND(X94*$Y$11,2)),"")</f>
        <v/>
      </c>
      <c r="Z94" s="55">
        <f>IFERROR(M94+S94+Y94,"")</f>
        <v/>
      </c>
      <c r="AA94" s="274">
        <f>IFERROR(VLOOKUP(Z94,'Helper(IMPORTANT!)'!$CQ$1:$CR$41,2,TRUE),"")</f>
        <v/>
      </c>
      <c r="AB94" s="170">
        <f t="array" ref="AB94">IF(AA94="", "", _xlfn.IFS(AA94&gt;=90, "A", AA94&gt;=80, "B", AA94&gt;=75, "C", AA94&gt;=65, "D", AA94&gt;=0, "E"))</f>
        <v/>
      </c>
      <c r="AD94" s="39" t="n"/>
      <c r="AG94" s="38" t="n"/>
      <c r="AH94" s="38" t="n"/>
      <c r="AI94" s="38" t="n"/>
    </row>
    <row r="95" ht="18" customHeight="1">
      <c r="A95" s="169" t="n">
        <v>32</v>
      </c>
      <c r="B95" s="442">
        <f>'INPUT DATA'!O42</f>
        <v/>
      </c>
      <c r="C95" s="673" t="n"/>
      <c r="D95" s="673" t="n"/>
      <c r="E95" s="674" t="n"/>
      <c r="F95" s="52" t="n"/>
      <c r="G95" s="49" t="n"/>
      <c r="H95" s="49" t="n"/>
      <c r="I95" s="49" t="n"/>
      <c r="J95" s="49" t="n"/>
      <c r="K95" s="48">
        <f>IF(COUNT($F95:$J95)=0,"",SUM($F95:$J95))</f>
        <v/>
      </c>
      <c r="L95" s="47">
        <f>IFERROR(IF(K95="","",ROUND(K95/$K$11*100,2)),"")</f>
        <v/>
      </c>
      <c r="M95" s="54">
        <f>IFERROR(IF(L95="","",ROUND(L95*$M$11,2)),"")</f>
        <v/>
      </c>
      <c r="N95" s="52" t="n"/>
      <c r="O95" s="49" t="n"/>
      <c r="P95" s="49" t="n"/>
      <c r="Q95" s="48">
        <f>IF(COUNT($N95:$P95)=0,"",SUM($N95:$P95))</f>
        <v/>
      </c>
      <c r="R95" s="47">
        <f>IFERROR(IF(Q95="","",ROUND(Q95/$Q$11*100,2)),"")</f>
        <v/>
      </c>
      <c r="S95" s="54">
        <f>IFERROR(IF(R95="","",ROUND(R95*$S$11,2)),"")</f>
        <v/>
      </c>
      <c r="T95" s="265" t="n"/>
      <c r="U95" s="46" t="n"/>
      <c r="V95" s="268" t="n"/>
      <c r="W95" s="272">
        <f>IF(COUNT($T95:$V95)=0,"",SUM($T95:$V95))</f>
        <v/>
      </c>
      <c r="X95" s="352">
        <f>IFERROR(IF(W95="","",ROUND((($T95/$T$11)*30 + ($U95/$U$11)*30 + ($V95/$V$11)*40),2)),"")</f>
        <v/>
      </c>
      <c r="Y95" s="54">
        <f>IFERROR(IF(X95="","",ROUND(X95*$Y$11,2)),"")</f>
        <v/>
      </c>
      <c r="Z95" s="55">
        <f>IFERROR(M95+S95+Y95,"")</f>
        <v/>
      </c>
      <c r="AA95" s="274">
        <f>IFERROR(VLOOKUP(Z95,'Helper(IMPORTANT!)'!$CQ$1:$CR$41,2,TRUE),"")</f>
        <v/>
      </c>
      <c r="AB95" s="170">
        <f t="array" ref="AB95">IF(AA95="", "", _xlfn.IFS(AA95&gt;=90, "A", AA95&gt;=80, "B", AA95&gt;=75, "C", AA95&gt;=65, "D", AA95&gt;=0, "E"))</f>
        <v/>
      </c>
      <c r="AD95" s="39" t="n"/>
      <c r="AG95" s="38" t="n"/>
      <c r="AH95" s="38" t="n"/>
      <c r="AI95" s="38" t="n"/>
    </row>
    <row r="96" ht="18" customHeight="1">
      <c r="A96" s="169" t="n">
        <v>33</v>
      </c>
      <c r="B96" s="442">
        <f>'INPUT DATA'!O43</f>
        <v/>
      </c>
      <c r="C96" s="673" t="n"/>
      <c r="D96" s="673" t="n"/>
      <c r="E96" s="674" t="n"/>
      <c r="F96" s="52" t="n"/>
      <c r="G96" s="49" t="n"/>
      <c r="H96" s="49" t="n"/>
      <c r="I96" s="49" t="n"/>
      <c r="J96" s="49" t="n"/>
      <c r="K96" s="48">
        <f>IF(COUNT($F96:$J96)=0,"",SUM($F96:$J96))</f>
        <v/>
      </c>
      <c r="L96" s="47">
        <f>IFERROR(IF(K96="","",ROUND(K96/$K$11*100,2)),"")</f>
        <v/>
      </c>
      <c r="M96" s="54">
        <f>IFERROR(IF(L96="","",ROUND(L96*$M$11,2)),"")</f>
        <v/>
      </c>
      <c r="N96" s="52" t="n"/>
      <c r="O96" s="49" t="n"/>
      <c r="P96" s="49" t="n"/>
      <c r="Q96" s="48">
        <f>IF(COUNT($N96:$P96)=0,"",SUM($N96:$P96))</f>
        <v/>
      </c>
      <c r="R96" s="47">
        <f>IFERROR(IF(Q96="","",ROUND(Q96/$Q$11*100,2)),"")</f>
        <v/>
      </c>
      <c r="S96" s="54">
        <f>IFERROR(IF(R96="","",ROUND(R96*$S$11,2)),"")</f>
        <v/>
      </c>
      <c r="T96" s="265" t="n"/>
      <c r="U96" s="46" t="n"/>
      <c r="V96" s="268" t="n"/>
      <c r="W96" s="272">
        <f>IF(COUNT($T96:$V96)=0,"",SUM($T96:$V96))</f>
        <v/>
      </c>
      <c r="X96" s="352">
        <f>IFERROR(IF(W96="","",ROUND((($T96/$T$11)*30 + ($U96/$U$11)*30 + ($V96/$V$11)*40),2)),"")</f>
        <v/>
      </c>
      <c r="Y96" s="54">
        <f>IFERROR(IF(X96="","",ROUND(X96*$Y$11,2)),"")</f>
        <v/>
      </c>
      <c r="Z96" s="55">
        <f>IFERROR(M96+S96+Y96,"")</f>
        <v/>
      </c>
      <c r="AA96" s="274">
        <f>IFERROR(VLOOKUP(Z96,'Helper(IMPORTANT!)'!$CQ$1:$CR$41,2,TRUE),"")</f>
        <v/>
      </c>
      <c r="AB96" s="170">
        <f t="array" ref="AB96">IF(AA96="", "", _xlfn.IFS(AA96&gt;=90, "A", AA96&gt;=80, "B", AA96&gt;=75, "C", AA96&gt;=65, "D", AA96&gt;=0, "E"))</f>
        <v/>
      </c>
      <c r="AD96" s="39" t="n"/>
      <c r="AG96" s="38" t="n"/>
      <c r="AH96" s="38" t="n"/>
      <c r="AI96" s="38" t="n"/>
    </row>
    <row r="97" ht="18" customHeight="1">
      <c r="A97" s="169" t="n">
        <v>34</v>
      </c>
      <c r="B97" s="442">
        <f>'INPUT DATA'!O44</f>
        <v/>
      </c>
      <c r="C97" s="673" t="n"/>
      <c r="D97" s="673" t="n"/>
      <c r="E97" s="674" t="n"/>
      <c r="F97" s="52" t="n"/>
      <c r="G97" s="49" t="n"/>
      <c r="H97" s="49" t="n"/>
      <c r="I97" s="49" t="n"/>
      <c r="J97" s="49" t="n"/>
      <c r="K97" s="48">
        <f>IF(COUNT($F97:$J97)=0,"",SUM($F97:$J97))</f>
        <v/>
      </c>
      <c r="L97" s="47">
        <f>IFERROR(IF(K97="","",ROUND(K97/$K$11*100,2)),"")</f>
        <v/>
      </c>
      <c r="M97" s="54">
        <f>IFERROR(IF(L97="","",ROUND(L97*$M$11,2)),"")</f>
        <v/>
      </c>
      <c r="N97" s="52" t="n"/>
      <c r="O97" s="49" t="n"/>
      <c r="P97" s="49" t="n"/>
      <c r="Q97" s="48">
        <f>IF(COUNT($N97:$P97)=0,"",SUM($N97:$P97))</f>
        <v/>
      </c>
      <c r="R97" s="47">
        <f>IFERROR(IF(Q97="","",ROUND(Q97/$Q$11*100,2)),"")</f>
        <v/>
      </c>
      <c r="S97" s="54">
        <f>IFERROR(IF(R97="","",ROUND(R97*$S$11,2)),"")</f>
        <v/>
      </c>
      <c r="T97" s="265" t="n"/>
      <c r="U97" s="46" t="n"/>
      <c r="V97" s="268" t="n"/>
      <c r="W97" s="272">
        <f>IF(COUNT($T97:$V97)=0,"",SUM($T97:$V97))</f>
        <v/>
      </c>
      <c r="X97" s="352">
        <f>IFERROR(IF(W97="","",ROUND((($T97/$T$11)*30 + ($U97/$U$11)*30 + ($V97/$V$11)*40),2)),"")</f>
        <v/>
      </c>
      <c r="Y97" s="54">
        <f>IFERROR(IF(X97="","",ROUND(X97*$Y$11,2)),"")</f>
        <v/>
      </c>
      <c r="Z97" s="55">
        <f>IFERROR(M97+S97+Y97,"")</f>
        <v/>
      </c>
      <c r="AA97" s="274">
        <f>IFERROR(VLOOKUP(Z97,'Helper(IMPORTANT!)'!$CQ$1:$CR$41,2,TRUE),"")</f>
        <v/>
      </c>
      <c r="AB97" s="170">
        <f t="array" ref="AB97">IF(AA97="", "", _xlfn.IFS(AA97&gt;=90, "A", AA97&gt;=80, "B", AA97&gt;=75, "C", AA97&gt;=65, "D", AA97&gt;=0, "E"))</f>
        <v/>
      </c>
      <c r="AD97" s="39" t="n"/>
      <c r="AG97" s="38" t="n"/>
      <c r="AH97" s="38" t="n"/>
      <c r="AI97" s="38" t="n"/>
    </row>
    <row r="98" ht="18" customHeight="1">
      <c r="A98" s="169" t="n">
        <v>35</v>
      </c>
      <c r="B98" s="442">
        <f>'INPUT DATA'!O45</f>
        <v/>
      </c>
      <c r="C98" s="673" t="n"/>
      <c r="D98" s="673" t="n"/>
      <c r="E98" s="674" t="n"/>
      <c r="F98" s="52" t="n"/>
      <c r="G98" s="49" t="n"/>
      <c r="H98" s="49" t="n"/>
      <c r="I98" s="49" t="n"/>
      <c r="J98" s="49" t="n"/>
      <c r="K98" s="48">
        <f>IF(COUNT($F98:$J98)=0,"",SUM($F98:$J98))</f>
        <v/>
      </c>
      <c r="L98" s="47">
        <f>IFERROR(IF(K98="","",ROUND(K98/$K$11*100,2)),"")</f>
        <v/>
      </c>
      <c r="M98" s="54">
        <f>IFERROR(IF(L98="","",ROUND(L98*$M$11,2)),"")</f>
        <v/>
      </c>
      <c r="N98" s="52" t="n"/>
      <c r="O98" s="49" t="n"/>
      <c r="P98" s="49" t="n"/>
      <c r="Q98" s="48">
        <f>IF(COUNT($N98:$P98)=0,"",SUM($N98:$P98))</f>
        <v/>
      </c>
      <c r="R98" s="47">
        <f>IFERROR(IF(Q98="","",ROUND(Q98/$Q$11*100,2)),"")</f>
        <v/>
      </c>
      <c r="S98" s="54">
        <f>IFERROR(IF(R98="","",ROUND(R98*$S$11,2)),"")</f>
        <v/>
      </c>
      <c r="T98" s="265" t="n"/>
      <c r="U98" s="46" t="n"/>
      <c r="V98" s="268" t="n"/>
      <c r="W98" s="272">
        <f>IF(COUNT($T98:$V98)=0,"",SUM($T98:$V98))</f>
        <v/>
      </c>
      <c r="X98" s="352">
        <f>IFERROR(IF(W98="","",ROUND((($T98/$T$11)*30 + ($U98/$U$11)*30 + ($V98/$V$11)*40),2)),"")</f>
        <v/>
      </c>
      <c r="Y98" s="54">
        <f>IFERROR(IF(X98="","",ROUND(X98*$Y$11,2)),"")</f>
        <v/>
      </c>
      <c r="Z98" s="55">
        <f>IFERROR(M98+S98+Y98,"")</f>
        <v/>
      </c>
      <c r="AA98" s="274">
        <f>IFERROR(VLOOKUP(Z98,'Helper(IMPORTANT!)'!$CQ$1:$CR$41,2,TRUE),"")</f>
        <v/>
      </c>
      <c r="AB98" s="170">
        <f t="array" ref="AB98">IF(AA98="", "", _xlfn.IFS(AA98&gt;=90, "A", AA98&gt;=80, "B", AA98&gt;=75, "C", AA98&gt;=65, "D", AA98&gt;=0, "E"))</f>
        <v/>
      </c>
      <c r="AD98" s="39" t="n"/>
      <c r="AG98" s="38" t="n"/>
      <c r="AH98" s="38" t="n"/>
      <c r="AI98" s="38" t="n"/>
    </row>
    <row r="99" ht="18" customHeight="1">
      <c r="A99" s="169" t="n">
        <v>36</v>
      </c>
      <c r="B99" s="442">
        <f>'INPUT DATA'!O46</f>
        <v/>
      </c>
      <c r="C99" s="673" t="n"/>
      <c r="D99" s="673" t="n"/>
      <c r="E99" s="674" t="n"/>
      <c r="F99" s="52" t="n"/>
      <c r="G99" s="49" t="n"/>
      <c r="H99" s="49" t="n"/>
      <c r="I99" s="49" t="n"/>
      <c r="J99" s="49" t="n"/>
      <c r="K99" s="48">
        <f>IF(COUNT($F99:$J99)=0,"",SUM($F99:$J99))</f>
        <v/>
      </c>
      <c r="L99" s="47">
        <f>IFERROR(IF(K99="","",ROUND(K99/$K$11*100,2)),"")</f>
        <v/>
      </c>
      <c r="M99" s="54">
        <f>IFERROR(IF(L99="","",ROUND(L99*$M$11,2)),"")</f>
        <v/>
      </c>
      <c r="N99" s="52" t="n"/>
      <c r="O99" s="49" t="n"/>
      <c r="P99" s="49" t="n"/>
      <c r="Q99" s="48">
        <f>IF(COUNT($N99:$P99)=0,"",SUM($N99:$P99))</f>
        <v/>
      </c>
      <c r="R99" s="47">
        <f>IFERROR(IF(Q99="","",ROUND(Q99/$Q$11*100,2)),"")</f>
        <v/>
      </c>
      <c r="S99" s="54">
        <f>IFERROR(IF(R99="","",ROUND(R99*$S$11,2)),"")</f>
        <v/>
      </c>
      <c r="T99" s="265" t="n"/>
      <c r="U99" s="46" t="n"/>
      <c r="V99" s="268" t="n"/>
      <c r="W99" s="272">
        <f>IF(COUNT($T99:$V99)=0,"",SUM($T99:$V99))</f>
        <v/>
      </c>
      <c r="X99" s="352">
        <f>IFERROR(IF(W99="","",ROUND((($T99/$T$11)*30 + ($U99/$U$11)*30 + ($V99/$V$11)*40),2)),"")</f>
        <v/>
      </c>
      <c r="Y99" s="54">
        <f>IFERROR(IF(X99="","",ROUND(X99*$Y$11,2)),"")</f>
        <v/>
      </c>
      <c r="Z99" s="55">
        <f>IFERROR(M99+S99+Y99,"")</f>
        <v/>
      </c>
      <c r="AA99" s="274">
        <f>IFERROR(VLOOKUP(Z99,'Helper(IMPORTANT!)'!$CQ$1:$CR$41,2,TRUE),"")</f>
        <v/>
      </c>
      <c r="AB99" s="170">
        <f t="array" ref="AB99">IF(AA99="", "", _xlfn.IFS(AA99&gt;=90, "A", AA99&gt;=80, "B", AA99&gt;=75, "C", AA99&gt;=65, "D", AA99&gt;=0, "E"))</f>
        <v/>
      </c>
      <c r="AD99" s="39" t="n"/>
      <c r="AG99" s="38" t="n"/>
      <c r="AH99" s="38" t="n"/>
      <c r="AI99" s="38" t="n"/>
    </row>
    <row r="100" ht="18" customHeight="1">
      <c r="A100" s="169" t="n">
        <v>37</v>
      </c>
      <c r="B100" s="442">
        <f>'INPUT DATA'!O47</f>
        <v/>
      </c>
      <c r="C100" s="673" t="n"/>
      <c r="D100" s="673" t="n"/>
      <c r="E100" s="674" t="n"/>
      <c r="F100" s="52" t="n"/>
      <c r="G100" s="49" t="n"/>
      <c r="H100" s="49" t="n"/>
      <c r="I100" s="49" t="n"/>
      <c r="J100" s="49" t="n"/>
      <c r="K100" s="48">
        <f>IF(COUNT($F100:$J100)=0,"",SUM($F100:$J100))</f>
        <v/>
      </c>
      <c r="L100" s="47">
        <f>IFERROR(IF(K100="","",ROUND(K100/$K$11*100,2)),"")</f>
        <v/>
      </c>
      <c r="M100" s="54">
        <f>IFERROR(IF(L100="","",ROUND(L100*$M$11,2)),"")</f>
        <v/>
      </c>
      <c r="N100" s="52" t="n"/>
      <c r="O100" s="49" t="n"/>
      <c r="P100" s="49" t="n"/>
      <c r="Q100" s="48">
        <f>IF(COUNT($N100:$P100)=0,"",SUM($N100:$P100))</f>
        <v/>
      </c>
      <c r="R100" s="47">
        <f>IFERROR(IF(Q100="","",ROUND(Q100/$Q$11*100,2)),"")</f>
        <v/>
      </c>
      <c r="S100" s="54">
        <f>IFERROR(IF(R100="","",ROUND(R100*$S$11,2)),"")</f>
        <v/>
      </c>
      <c r="T100" s="265" t="n"/>
      <c r="U100" s="46" t="n"/>
      <c r="V100" s="268" t="n"/>
      <c r="W100" s="272">
        <f>IF(COUNT($T100:$V100)=0,"",SUM($T100:$V100))</f>
        <v/>
      </c>
      <c r="X100" s="352">
        <f>IFERROR(IF(W100="","",ROUND((($T100/$T$11)*30 + ($U100/$U$11)*30 + ($V100/$V$11)*40),2)),"")</f>
        <v/>
      </c>
      <c r="Y100" s="54">
        <f>IFERROR(IF(X100="","",ROUND(X100*$Y$11,2)),"")</f>
        <v/>
      </c>
      <c r="Z100" s="55">
        <f>IFERROR(M100+S100+Y100,"")</f>
        <v/>
      </c>
      <c r="AA100" s="274">
        <f>IFERROR(VLOOKUP(Z100,'Helper(IMPORTANT!)'!$CQ$1:$CR$41,2,TRUE),"")</f>
        <v/>
      </c>
      <c r="AB100" s="170">
        <f t="array" ref="AB100">IF(AA100="", "", _xlfn.IFS(AA100&gt;=90, "A", AA100&gt;=80, "B", AA100&gt;=75, "C", AA100&gt;=65, "D", AA100&gt;=0, "E"))</f>
        <v/>
      </c>
      <c r="AD100" s="39" t="n"/>
      <c r="AG100" s="38" t="n"/>
      <c r="AH100" s="38" t="n"/>
      <c r="AI100" s="38" t="n"/>
    </row>
    <row r="101" ht="18" customHeight="1">
      <c r="A101" s="169" t="n">
        <v>38</v>
      </c>
      <c r="B101" s="442">
        <f>'INPUT DATA'!O48</f>
        <v/>
      </c>
      <c r="C101" s="673" t="n"/>
      <c r="D101" s="673" t="n"/>
      <c r="E101" s="674" t="n"/>
      <c r="F101" s="52" t="n"/>
      <c r="G101" s="49" t="n"/>
      <c r="H101" s="49" t="n"/>
      <c r="I101" s="49" t="n"/>
      <c r="J101" s="49" t="n"/>
      <c r="K101" s="48">
        <f>IF(COUNT($F101:$J101)=0,"",SUM($F101:$J101))</f>
        <v/>
      </c>
      <c r="L101" s="47">
        <f>IFERROR(IF(K101="","",ROUND(K101/$K$11*100,2)),"")</f>
        <v/>
      </c>
      <c r="M101" s="54">
        <f>IFERROR(IF(L101="","",ROUND(L101*$M$11,2)),"")</f>
        <v/>
      </c>
      <c r="N101" s="52" t="n"/>
      <c r="O101" s="49" t="n"/>
      <c r="P101" s="49" t="n"/>
      <c r="Q101" s="48">
        <f>IF(COUNT($N101:$P101)=0,"",SUM($N101:$P101))</f>
        <v/>
      </c>
      <c r="R101" s="47">
        <f>IFERROR(IF(Q101="","",ROUND(Q101/$Q$11*100,2)),"")</f>
        <v/>
      </c>
      <c r="S101" s="54">
        <f>IFERROR(IF(R101="","",ROUND(R101*$S$11,2)),"")</f>
        <v/>
      </c>
      <c r="T101" s="265" t="n"/>
      <c r="U101" s="46" t="n"/>
      <c r="V101" s="268" t="n"/>
      <c r="W101" s="272">
        <f>IF(COUNT($T101:$V101)=0,"",SUM($T101:$V101))</f>
        <v/>
      </c>
      <c r="X101" s="352">
        <f>IFERROR(IF(W101="","",ROUND((($T101/$T$11)*30 + ($U101/$U$11)*30 + ($V101/$V$11)*40),2)),"")</f>
        <v/>
      </c>
      <c r="Y101" s="54">
        <f>IFERROR(IF(X101="","",ROUND(X101*$Y$11,2)),"")</f>
        <v/>
      </c>
      <c r="Z101" s="55">
        <f>IFERROR(M101+S101+Y101,"")</f>
        <v/>
      </c>
      <c r="AA101" s="274">
        <f>IFERROR(VLOOKUP(Z101,'Helper(IMPORTANT!)'!$CQ$1:$CR$41,2,TRUE),"")</f>
        <v/>
      </c>
      <c r="AB101" s="170">
        <f t="array" ref="AB101">IF(AA101="", "", _xlfn.IFS(AA101&gt;=90, "A", AA101&gt;=80, "B", AA101&gt;=75, "C", AA101&gt;=65, "D", AA101&gt;=0, "E"))</f>
        <v/>
      </c>
      <c r="AD101" s="39" t="n"/>
      <c r="AG101" s="38" t="n"/>
      <c r="AH101" s="38" t="n"/>
      <c r="AI101" s="38" t="n"/>
    </row>
    <row r="102" ht="18" customHeight="1">
      <c r="A102" s="169" t="n">
        <v>39</v>
      </c>
      <c r="B102" s="442">
        <f>'INPUT DATA'!O49</f>
        <v/>
      </c>
      <c r="C102" s="673" t="n"/>
      <c r="D102" s="673" t="n"/>
      <c r="E102" s="674" t="n"/>
      <c r="F102" s="52" t="n"/>
      <c r="G102" s="49" t="n"/>
      <c r="H102" s="49" t="n"/>
      <c r="I102" s="49" t="n"/>
      <c r="J102" s="49" t="n"/>
      <c r="K102" s="48">
        <f>IF(COUNT($F102:$J102)=0,"",SUM($F102:$J102))</f>
        <v/>
      </c>
      <c r="L102" s="47">
        <f>IFERROR(IF(K102="","",ROUND(K102/$K$11*100,2)),"")</f>
        <v/>
      </c>
      <c r="M102" s="54">
        <f>IFERROR(IF(L102="","",ROUND(L102*$M$11,2)),"")</f>
        <v/>
      </c>
      <c r="N102" s="52" t="n"/>
      <c r="O102" s="49" t="n"/>
      <c r="P102" s="49" t="n"/>
      <c r="Q102" s="48">
        <f>IF(COUNT($N102:$P102)=0,"",SUM($N102:$P102))</f>
        <v/>
      </c>
      <c r="R102" s="47">
        <f>IFERROR(IF(Q102="","",ROUND(Q102/$Q$11*100,2)),"")</f>
        <v/>
      </c>
      <c r="S102" s="54">
        <f>IFERROR(IF(R102="","",ROUND(R102*$S$11,2)),"")</f>
        <v/>
      </c>
      <c r="T102" s="265" t="n"/>
      <c r="U102" s="46" t="n"/>
      <c r="V102" s="268" t="n"/>
      <c r="W102" s="272">
        <f>IF(COUNT($T102:$V102)=0,"",SUM($T102:$V102))</f>
        <v/>
      </c>
      <c r="X102" s="352">
        <f>IFERROR(IF(W102="","",ROUND((($T102/$T$11)*30 + ($U102/$U$11)*30 + ($V102/$V$11)*40),2)),"")</f>
        <v/>
      </c>
      <c r="Y102" s="54">
        <f>IFERROR(IF(X102="","",ROUND(X102*$Y$11,2)),"")</f>
        <v/>
      </c>
      <c r="Z102" s="55">
        <f>IFERROR(M102+S102+Y102,"")</f>
        <v/>
      </c>
      <c r="AA102" s="274">
        <f>IFERROR(VLOOKUP(Z102,'Helper(IMPORTANT!)'!$CQ$1:$CR$41,2,TRUE),"")</f>
        <v/>
      </c>
      <c r="AB102" s="170">
        <f t="array" ref="AB102">IF(AA102="", "", _xlfn.IFS(AA102&gt;=90, "A", AA102&gt;=80, "B", AA102&gt;=75, "C", AA102&gt;=65, "D", AA102&gt;=0, "E"))</f>
        <v/>
      </c>
      <c r="AD102" s="39" t="n"/>
      <c r="AG102" s="38" t="n"/>
      <c r="AH102" s="38" t="n"/>
      <c r="AI102" s="38" t="n"/>
    </row>
    <row r="103" ht="18" customHeight="1">
      <c r="A103" s="169" t="n">
        <v>40</v>
      </c>
      <c r="B103" s="442">
        <f>'INPUT DATA'!O50</f>
        <v/>
      </c>
      <c r="C103" s="673" t="n"/>
      <c r="D103" s="673" t="n"/>
      <c r="E103" s="674" t="n"/>
      <c r="F103" s="52" t="n"/>
      <c r="G103" s="49" t="n"/>
      <c r="H103" s="49" t="n"/>
      <c r="I103" s="49" t="n"/>
      <c r="J103" s="49" t="n"/>
      <c r="K103" s="48">
        <f>IF(COUNT($F103:$J103)=0,"",SUM($F103:$J103))</f>
        <v/>
      </c>
      <c r="L103" s="47">
        <f>IFERROR(IF(K103="","",ROUND(K103/$K$11*100,2)),"")</f>
        <v/>
      </c>
      <c r="M103" s="54">
        <f>IFERROR(IF(L103="","",ROUND(L103*$M$11,2)),"")</f>
        <v/>
      </c>
      <c r="N103" s="52" t="n"/>
      <c r="O103" s="49" t="n"/>
      <c r="P103" s="49" t="n"/>
      <c r="Q103" s="48">
        <f>IF(COUNT($N103:$P103)=0,"",SUM($N103:$P103))</f>
        <v/>
      </c>
      <c r="R103" s="47">
        <f>IFERROR(IF(Q103="","",ROUND(Q103/$Q$11*100,2)),"")</f>
        <v/>
      </c>
      <c r="S103" s="54">
        <f>IFERROR(IF(R103="","",ROUND(R103*$S$11,2)),"")</f>
        <v/>
      </c>
      <c r="T103" s="265" t="n"/>
      <c r="U103" s="46" t="n"/>
      <c r="V103" s="268" t="n"/>
      <c r="W103" s="272">
        <f>IF(COUNT($T103:$V103)=0,"",SUM($T103:$V103))</f>
        <v/>
      </c>
      <c r="X103" s="352">
        <f>IFERROR(IF(W103="","",ROUND((($T103/$T$11)*30 + ($U103/$U$11)*30 + ($V103/$V$11)*40),2)),"")</f>
        <v/>
      </c>
      <c r="Y103" s="54">
        <f>IFERROR(IF(X103="","",ROUND(X103*$Y$11,2)),"")</f>
        <v/>
      </c>
      <c r="Z103" s="55">
        <f>IFERROR(M103+S103+Y103,"")</f>
        <v/>
      </c>
      <c r="AA103" s="274">
        <f>IFERROR(VLOOKUP(Z103,'Helper(IMPORTANT!)'!$CQ$1:$CR$41,2,TRUE),"")</f>
        <v/>
      </c>
      <c r="AB103" s="170">
        <f t="array" ref="AB103">IF(AA103="", "", _xlfn.IFS(AA103&gt;=90, "A", AA103&gt;=80, "B", AA103&gt;=75, "C", AA103&gt;=65, "D", AA103&gt;=0, "E"))</f>
        <v/>
      </c>
      <c r="AD103" s="39" t="n"/>
      <c r="AG103" s="38" t="n"/>
      <c r="AH103" s="38" t="n"/>
      <c r="AI103" s="38" t="n"/>
    </row>
    <row r="104" ht="18" customHeight="1">
      <c r="A104" s="169" t="n">
        <v>41</v>
      </c>
      <c r="B104" s="442">
        <f>'INPUT DATA'!O51</f>
        <v/>
      </c>
      <c r="C104" s="673" t="n"/>
      <c r="D104" s="673" t="n"/>
      <c r="E104" s="674" t="n"/>
      <c r="F104" s="52" t="n"/>
      <c r="G104" s="49" t="n"/>
      <c r="H104" s="49" t="n"/>
      <c r="I104" s="49" t="n"/>
      <c r="J104" s="49" t="n"/>
      <c r="K104" s="48">
        <f>IF(COUNT($F104:$J104)=0,"",SUM($F104:$J104))</f>
        <v/>
      </c>
      <c r="L104" s="47">
        <f>IFERROR(IF(K104="","",ROUND(K104/$K$11*100,2)),"")</f>
        <v/>
      </c>
      <c r="M104" s="54">
        <f>IFERROR(IF(L104="","",ROUND(L104*$M$11,2)),"")</f>
        <v/>
      </c>
      <c r="N104" s="52" t="n"/>
      <c r="O104" s="49" t="n"/>
      <c r="P104" s="49" t="n"/>
      <c r="Q104" s="48">
        <f>IF(COUNT($N104:$P104)=0,"",SUM($N104:$P104))</f>
        <v/>
      </c>
      <c r="R104" s="47">
        <f>IFERROR(IF(Q104="","",ROUND(Q104/$Q$11*100,2)),"")</f>
        <v/>
      </c>
      <c r="S104" s="54">
        <f>IFERROR(IF(R104="","",ROUND(R104*$S$11,2)),"")</f>
        <v/>
      </c>
      <c r="T104" s="265" t="n"/>
      <c r="U104" s="46" t="n"/>
      <c r="V104" s="268" t="n"/>
      <c r="W104" s="272">
        <f>IF(COUNT($T104:$V104)=0,"",SUM($T104:$V104))</f>
        <v/>
      </c>
      <c r="X104" s="352">
        <f>IFERROR(IF(W104="","",ROUND((($T104/$T$11)*30 + ($U104/$U$11)*30 + ($V104/$V$11)*40),2)),"")</f>
        <v/>
      </c>
      <c r="Y104" s="54">
        <f>IFERROR(IF(X104="","",ROUND(X104*$Y$11,2)),"")</f>
        <v/>
      </c>
      <c r="Z104" s="55">
        <f>IFERROR(M104+S104+Y104,"")</f>
        <v/>
      </c>
      <c r="AA104" s="274">
        <f>IFERROR(VLOOKUP(Z104,'Helper(IMPORTANT!)'!$CQ$1:$CR$41,2,TRUE),"")</f>
        <v/>
      </c>
      <c r="AB104" s="170">
        <f t="array" ref="AB104">IF(AA104="", "", _xlfn.IFS(AA104&gt;=90, "A", AA104&gt;=80, "B", AA104&gt;=75, "C", AA104&gt;=65, "D", AA104&gt;=0, "E"))</f>
        <v/>
      </c>
      <c r="AD104" s="39" t="n"/>
      <c r="AG104" s="38" t="n"/>
      <c r="AH104" s="38" t="n"/>
      <c r="AI104" s="38" t="n"/>
    </row>
    <row r="105" ht="18" customHeight="1">
      <c r="A105" s="169" t="n">
        <v>42</v>
      </c>
      <c r="B105" s="442">
        <f>'INPUT DATA'!O52</f>
        <v/>
      </c>
      <c r="C105" s="673" t="n"/>
      <c r="D105" s="673" t="n"/>
      <c r="E105" s="674" t="n"/>
      <c r="F105" s="52" t="n"/>
      <c r="G105" s="49" t="n"/>
      <c r="H105" s="49" t="n"/>
      <c r="I105" s="49" t="n"/>
      <c r="J105" s="49" t="n"/>
      <c r="K105" s="48">
        <f>IF(COUNT($F105:$J105)=0,"",SUM($F105:$J105))</f>
        <v/>
      </c>
      <c r="L105" s="47">
        <f>IFERROR(IF(K105="","",ROUND(K105/$K$11*100,2)),"")</f>
        <v/>
      </c>
      <c r="M105" s="54">
        <f>IFERROR(IF(L105="","",ROUND(L105*$M$11,2)),"")</f>
        <v/>
      </c>
      <c r="N105" s="52" t="n"/>
      <c r="O105" s="49" t="n"/>
      <c r="P105" s="49" t="n"/>
      <c r="Q105" s="48">
        <f>IF(COUNT($N105:$P105)=0,"",SUM($N105:$P105))</f>
        <v/>
      </c>
      <c r="R105" s="47">
        <f>IFERROR(IF(Q105="","",ROUND(Q105/$Q$11*100,2)),"")</f>
        <v/>
      </c>
      <c r="S105" s="54">
        <f>IFERROR(IF(R105="","",ROUND(R105*$S$11,2)),"")</f>
        <v/>
      </c>
      <c r="T105" s="265" t="n"/>
      <c r="U105" s="46" t="n"/>
      <c r="V105" s="268" t="n"/>
      <c r="W105" s="272">
        <f>IF(COUNT($T105:$V105)=0,"",SUM($T105:$V105))</f>
        <v/>
      </c>
      <c r="X105" s="352">
        <f>IFERROR(IF(W105="","",ROUND((($T105/$T$11)*30 + ($U105/$U$11)*30 + ($V105/$V$11)*40),2)),"")</f>
        <v/>
      </c>
      <c r="Y105" s="54">
        <f>IFERROR(IF(X105="","",ROUND(X105*$Y$11,2)),"")</f>
        <v/>
      </c>
      <c r="Z105" s="55">
        <f>IFERROR(M105+S105+Y105,"")</f>
        <v/>
      </c>
      <c r="AA105" s="274">
        <f>IFERROR(VLOOKUP(Z105,'Helper(IMPORTANT!)'!$CQ$1:$CR$41,2,TRUE),"")</f>
        <v/>
      </c>
      <c r="AB105" s="170">
        <f t="array" ref="AB105">IF(AA105="", "", _xlfn.IFS(AA105&gt;=90, "A", AA105&gt;=80, "B", AA105&gt;=75, "C", AA105&gt;=65, "D", AA105&gt;=0, "E"))</f>
        <v/>
      </c>
      <c r="AD105" s="39" t="n"/>
      <c r="AG105" s="38" t="n"/>
      <c r="AH105" s="38" t="n"/>
      <c r="AI105" s="38" t="n"/>
    </row>
    <row r="106" ht="18" customHeight="1">
      <c r="A106" s="169" t="n">
        <v>43</v>
      </c>
      <c r="B106" s="442">
        <f>'INPUT DATA'!O53</f>
        <v/>
      </c>
      <c r="C106" s="673" t="n"/>
      <c r="D106" s="673" t="n"/>
      <c r="E106" s="674" t="n"/>
      <c r="F106" s="52" t="n"/>
      <c r="G106" s="49" t="n"/>
      <c r="H106" s="49" t="n"/>
      <c r="I106" s="49" t="n"/>
      <c r="J106" s="49" t="n"/>
      <c r="K106" s="48">
        <f>IF(COUNT($F106:$J106)=0,"",SUM($F106:$J106))</f>
        <v/>
      </c>
      <c r="L106" s="47">
        <f>IFERROR(IF(K106="","",ROUND(K106/$K$11*100,2)),"")</f>
        <v/>
      </c>
      <c r="M106" s="54">
        <f>IFERROR(IF(L106="","",ROUND(L106*$M$11,2)),"")</f>
        <v/>
      </c>
      <c r="N106" s="52" t="n"/>
      <c r="O106" s="49" t="n"/>
      <c r="P106" s="49" t="n"/>
      <c r="Q106" s="48">
        <f>IF(COUNT($N106:$P106)=0,"",SUM($N106:$P106))</f>
        <v/>
      </c>
      <c r="R106" s="47">
        <f>IFERROR(IF(Q106="","",ROUND(Q106/$Q$11*100,2)),"")</f>
        <v/>
      </c>
      <c r="S106" s="54">
        <f>IFERROR(IF(R106="","",ROUND(R106*$S$11,2)),"")</f>
        <v/>
      </c>
      <c r="T106" s="265" t="n"/>
      <c r="U106" s="46" t="n"/>
      <c r="V106" s="268" t="n"/>
      <c r="W106" s="272">
        <f>IF(COUNT($T106:$V106)=0,"",SUM($T106:$V106))</f>
        <v/>
      </c>
      <c r="X106" s="352">
        <f>IFERROR(IF(W106="","",ROUND((($T106/$T$11)*30 + ($U106/$U$11)*30 + ($V106/$V$11)*40),2)),"")</f>
        <v/>
      </c>
      <c r="Y106" s="54">
        <f>IFERROR(IF(X106="","",ROUND(X106*$Y$11,2)),"")</f>
        <v/>
      </c>
      <c r="Z106" s="55">
        <f>IFERROR(M106+S106+Y106,"")</f>
        <v/>
      </c>
      <c r="AA106" s="274">
        <f>IFERROR(VLOOKUP(Z106,'Helper(IMPORTANT!)'!$CQ$1:$CR$41,2,TRUE),"")</f>
        <v/>
      </c>
      <c r="AB106" s="170">
        <f t="array" ref="AB106">IF(AA106="", "", _xlfn.IFS(AA106&gt;=90, "A", AA106&gt;=80, "B", AA106&gt;=75, "C", AA106&gt;=65, "D", AA106&gt;=0, "E"))</f>
        <v/>
      </c>
      <c r="AD106" s="39" t="n"/>
      <c r="AG106" s="38" t="n"/>
      <c r="AH106" s="38" t="n"/>
      <c r="AI106" s="38" t="n"/>
    </row>
    <row r="107" ht="18" customHeight="1">
      <c r="A107" s="169" t="n">
        <v>44</v>
      </c>
      <c r="B107" s="442">
        <f>'INPUT DATA'!O54</f>
        <v/>
      </c>
      <c r="C107" s="673" t="n"/>
      <c r="D107" s="673" t="n"/>
      <c r="E107" s="674" t="n"/>
      <c r="F107" s="52" t="n"/>
      <c r="G107" s="49" t="n"/>
      <c r="H107" s="49" t="n"/>
      <c r="I107" s="49" t="n"/>
      <c r="J107" s="49" t="n"/>
      <c r="K107" s="48">
        <f>IF(COUNT($F107:$J107)=0,"",SUM($F107:$J107))</f>
        <v/>
      </c>
      <c r="L107" s="47">
        <f>IFERROR(IF(K107="","",ROUND(K107/$K$11*100,2)),"")</f>
        <v/>
      </c>
      <c r="M107" s="54">
        <f>IFERROR(IF(L107="","",ROUND(L107*$M$11,2)),"")</f>
        <v/>
      </c>
      <c r="N107" s="52" t="n"/>
      <c r="O107" s="49" t="n"/>
      <c r="P107" s="49" t="n"/>
      <c r="Q107" s="48">
        <f>IF(COUNT($N107:$P107)=0,"",SUM($N107:$P107))</f>
        <v/>
      </c>
      <c r="R107" s="47">
        <f>IFERROR(IF(Q107="","",ROUND(Q107/$Q$11*100,2)),"")</f>
        <v/>
      </c>
      <c r="S107" s="54">
        <f>IFERROR(IF(R107="","",ROUND(R107*$S$11,2)),"")</f>
        <v/>
      </c>
      <c r="T107" s="265" t="n"/>
      <c r="U107" s="46" t="n"/>
      <c r="V107" s="268" t="n"/>
      <c r="W107" s="272">
        <f>IF(COUNT($T107:$V107)=0,"",SUM($T107:$V107))</f>
        <v/>
      </c>
      <c r="X107" s="352">
        <f>IFERROR(IF(W107="","",ROUND((($T107/$T$11)*30 + ($U107/$U$11)*30 + ($V107/$V$11)*40),2)),"")</f>
        <v/>
      </c>
      <c r="Y107" s="54">
        <f>IFERROR(IF(X107="","",ROUND(X107*$Y$11,2)),"")</f>
        <v/>
      </c>
      <c r="Z107" s="55">
        <f>IFERROR(M107+S107+Y107,"")</f>
        <v/>
      </c>
      <c r="AA107" s="274">
        <f>IFERROR(VLOOKUP(Z107,'Helper(IMPORTANT!)'!$CQ$1:$CR$41,2,TRUE),"")</f>
        <v/>
      </c>
      <c r="AB107" s="170">
        <f t="array" ref="AB107">IF(AA107="", "", _xlfn.IFS(AA107&gt;=90, "A", AA107&gt;=80, "B", AA107&gt;=75, "C", AA107&gt;=65, "D", AA107&gt;=0, "E"))</f>
        <v/>
      </c>
      <c r="AD107" s="39" t="n"/>
      <c r="AG107" s="38" t="n"/>
      <c r="AH107" s="38" t="n"/>
      <c r="AI107" s="38" t="n"/>
    </row>
    <row r="108" ht="18" customHeight="1">
      <c r="A108" s="169" t="n">
        <v>45</v>
      </c>
      <c r="B108" s="442">
        <f>'INPUT DATA'!O55</f>
        <v/>
      </c>
      <c r="C108" s="673" t="n"/>
      <c r="D108" s="673" t="n"/>
      <c r="E108" s="674" t="n"/>
      <c r="F108" s="52" t="n"/>
      <c r="G108" s="49" t="n"/>
      <c r="H108" s="49" t="n"/>
      <c r="I108" s="49" t="n"/>
      <c r="J108" s="49" t="n"/>
      <c r="K108" s="48">
        <f>IF(COUNT($F108:$J108)=0,"",SUM($F108:$J108))</f>
        <v/>
      </c>
      <c r="L108" s="47">
        <f>IFERROR(IF(K108="","",ROUND(K108/$K$11*100,2)),"")</f>
        <v/>
      </c>
      <c r="M108" s="54">
        <f>IFERROR(IF(L108="","",ROUND(L108*$M$11,2)),"")</f>
        <v/>
      </c>
      <c r="N108" s="52" t="n"/>
      <c r="O108" s="49" t="n"/>
      <c r="P108" s="49" t="n"/>
      <c r="Q108" s="48">
        <f>IF(COUNT($N108:$P108)=0,"",SUM($N108:$P108))</f>
        <v/>
      </c>
      <c r="R108" s="47">
        <f>IFERROR(IF(Q108="","",ROUND(Q108/$Q$11*100,2)),"")</f>
        <v/>
      </c>
      <c r="S108" s="54">
        <f>IFERROR(IF(R108="","",ROUND(R108*$S$11,2)),"")</f>
        <v/>
      </c>
      <c r="T108" s="265" t="n"/>
      <c r="U108" s="46" t="n"/>
      <c r="V108" s="268" t="n"/>
      <c r="W108" s="272">
        <f>IF(COUNT($T108:$V108)=0,"",SUM($T108:$V108))</f>
        <v/>
      </c>
      <c r="X108" s="352">
        <f>IFERROR(IF(W108="","",ROUND((($T108/$T$11)*30 + ($U108/$U$11)*30 + ($V108/$V$11)*40),2)),"")</f>
        <v/>
      </c>
      <c r="Y108" s="54">
        <f>IFERROR(IF(X108="","",ROUND(X108*$Y$11,2)),"")</f>
        <v/>
      </c>
      <c r="Z108" s="55">
        <f>IFERROR(M108+S108+Y108,"")</f>
        <v/>
      </c>
      <c r="AA108" s="274">
        <f>IFERROR(VLOOKUP(Z108,'Helper(IMPORTANT!)'!$CQ$1:$CR$41,2,TRUE),"")</f>
        <v/>
      </c>
      <c r="AB108" s="170">
        <f t="array" ref="AB108">IF(AA108="", "", _xlfn.IFS(AA108&gt;=90, "A", AA108&gt;=80, "B", AA108&gt;=75, "C", AA108&gt;=65, "D", AA108&gt;=0, "E"))</f>
        <v/>
      </c>
      <c r="AD108" s="39" t="n"/>
      <c r="AG108" s="38" t="n"/>
      <c r="AH108" s="38" t="n"/>
      <c r="AI108" s="38" t="n"/>
    </row>
    <row r="109" ht="18" customHeight="1">
      <c r="A109" s="169" t="n">
        <v>46</v>
      </c>
      <c r="B109" s="442">
        <f>'INPUT DATA'!O56</f>
        <v/>
      </c>
      <c r="C109" s="673" t="n"/>
      <c r="D109" s="673" t="n"/>
      <c r="E109" s="674" t="n"/>
      <c r="F109" s="52" t="n"/>
      <c r="G109" s="49" t="n"/>
      <c r="H109" s="49" t="n"/>
      <c r="I109" s="49" t="n"/>
      <c r="J109" s="49" t="n"/>
      <c r="K109" s="48">
        <f>IF(COUNT($F109:$J109)=0,"",SUM($F109:$J109))</f>
        <v/>
      </c>
      <c r="L109" s="47">
        <f>IFERROR(IF(K109="","",ROUND(K109/$K$11*100,2)),"")</f>
        <v/>
      </c>
      <c r="M109" s="54">
        <f>IFERROR(IF(L109="","",ROUND(L109*$M$11,2)),"")</f>
        <v/>
      </c>
      <c r="N109" s="52" t="n"/>
      <c r="O109" s="49" t="n"/>
      <c r="P109" s="49" t="n"/>
      <c r="Q109" s="48">
        <f>IF(COUNT($N109:$P109)=0,"",SUM($N109:$P109))</f>
        <v/>
      </c>
      <c r="R109" s="47">
        <f>IFERROR(IF(Q109="","",ROUND(Q109/$Q$11*100,2)),"")</f>
        <v/>
      </c>
      <c r="S109" s="54">
        <f>IFERROR(IF(R109="","",ROUND(R109*$S$11,2)),"")</f>
        <v/>
      </c>
      <c r="T109" s="265" t="n"/>
      <c r="U109" s="46" t="n"/>
      <c r="V109" s="268" t="n"/>
      <c r="W109" s="272">
        <f>IF(COUNT($T109:$V109)=0,"",SUM($T109:$V109))</f>
        <v/>
      </c>
      <c r="X109" s="352">
        <f>IFERROR(IF(W109="","",ROUND((($T109/$T$11)*30 + ($U109/$U$11)*30 + ($V109/$V$11)*40),2)),"")</f>
        <v/>
      </c>
      <c r="Y109" s="54">
        <f>IFERROR(IF(X109="","",ROUND(X109*$Y$11,2)),"")</f>
        <v/>
      </c>
      <c r="Z109" s="55">
        <f>IFERROR(M109+S109+Y109,"")</f>
        <v/>
      </c>
      <c r="AA109" s="274">
        <f>IFERROR(VLOOKUP(Z109,'Helper(IMPORTANT!)'!$CQ$1:$CR$41,2,TRUE),"")</f>
        <v/>
      </c>
      <c r="AB109" s="170">
        <f t="array" ref="AB109">IF(AA109="", "", _xlfn.IFS(AA109&gt;=90, "A", AA109&gt;=80, "B", AA109&gt;=75, "C", AA109&gt;=65, "D", AA109&gt;=0, "E"))</f>
        <v/>
      </c>
      <c r="AD109" s="39" t="n"/>
      <c r="AG109" s="38" t="n"/>
      <c r="AH109" s="38" t="n"/>
      <c r="AI109" s="38" t="n"/>
    </row>
    <row r="110" ht="18" customHeight="1">
      <c r="A110" s="169" t="n">
        <v>47</v>
      </c>
      <c r="B110" s="442">
        <f>'INPUT DATA'!O57</f>
        <v/>
      </c>
      <c r="C110" s="673" t="n"/>
      <c r="D110" s="673" t="n"/>
      <c r="E110" s="674" t="n"/>
      <c r="F110" s="52" t="n"/>
      <c r="G110" s="49" t="n"/>
      <c r="H110" s="49" t="n"/>
      <c r="I110" s="49" t="n"/>
      <c r="J110" s="49" t="n"/>
      <c r="K110" s="48">
        <f>IF(COUNT($F110:$J110)=0,"",SUM($F110:$J110))</f>
        <v/>
      </c>
      <c r="L110" s="47">
        <f>IFERROR(IF(K110="","",ROUND(K110/$K$11*100,2)),"")</f>
        <v/>
      </c>
      <c r="M110" s="54">
        <f>IFERROR(IF(L110="","",ROUND(L110*$M$11,2)),"")</f>
        <v/>
      </c>
      <c r="N110" s="52" t="n"/>
      <c r="O110" s="49" t="n"/>
      <c r="P110" s="49" t="n"/>
      <c r="Q110" s="48">
        <f>IF(COUNT($N110:$P110)=0,"",SUM($N110:$P110))</f>
        <v/>
      </c>
      <c r="R110" s="47">
        <f>IFERROR(IF(Q110="","",ROUND(Q110/$Q$11*100,2)),"")</f>
        <v/>
      </c>
      <c r="S110" s="54">
        <f>IFERROR(IF(R110="","",ROUND(R110*$S$11,2)),"")</f>
        <v/>
      </c>
      <c r="T110" s="265" t="n"/>
      <c r="U110" s="46" t="n"/>
      <c r="V110" s="268" t="n"/>
      <c r="W110" s="272">
        <f>IF(COUNT($T110:$V110)=0,"",SUM($T110:$V110))</f>
        <v/>
      </c>
      <c r="X110" s="352">
        <f>IFERROR(IF(W110="","",ROUND((($T110/$T$11)*30 + ($U110/$U$11)*30 + ($V110/$V$11)*40),2)),"")</f>
        <v/>
      </c>
      <c r="Y110" s="54">
        <f>IFERROR(IF(X110="","",ROUND(X110*$Y$11,2)),"")</f>
        <v/>
      </c>
      <c r="Z110" s="55">
        <f>IFERROR(M110+S110+Y110,"")</f>
        <v/>
      </c>
      <c r="AA110" s="274">
        <f>IFERROR(VLOOKUP(Z110,'Helper(IMPORTANT!)'!$CQ$1:$CR$41,2,TRUE),"")</f>
        <v/>
      </c>
      <c r="AB110" s="170">
        <f t="array" ref="AB110">IF(AA110="", "", _xlfn.IFS(AA110&gt;=90, "A", AA110&gt;=80, "B", AA110&gt;=75, "C", AA110&gt;=65, "D", AA110&gt;=0, "E"))</f>
        <v/>
      </c>
      <c r="AD110" s="39" t="n"/>
      <c r="AG110" s="38" t="n"/>
      <c r="AH110" s="38" t="n"/>
      <c r="AI110" s="38" t="n"/>
    </row>
    <row r="111" ht="18" customHeight="1">
      <c r="A111" s="169" t="n">
        <v>48</v>
      </c>
      <c r="B111" s="442">
        <f>'INPUT DATA'!O58</f>
        <v/>
      </c>
      <c r="C111" s="673" t="n"/>
      <c r="D111" s="673" t="n"/>
      <c r="E111" s="674" t="n"/>
      <c r="F111" s="52" t="n"/>
      <c r="G111" s="49" t="n"/>
      <c r="H111" s="49" t="n"/>
      <c r="I111" s="49" t="n"/>
      <c r="J111" s="49" t="n"/>
      <c r="K111" s="48">
        <f>IF(COUNT($F111:$J111)=0,"",SUM($F111:$J111))</f>
        <v/>
      </c>
      <c r="L111" s="47">
        <f>IFERROR(IF(K111="","",ROUND(K111/$K$11*100,2)),"")</f>
        <v/>
      </c>
      <c r="M111" s="54">
        <f>IFERROR(IF(L111="","",ROUND(L111*$M$11,2)),"")</f>
        <v/>
      </c>
      <c r="N111" s="52" t="n"/>
      <c r="O111" s="49" t="n"/>
      <c r="P111" s="49" t="n"/>
      <c r="Q111" s="48">
        <f>IF(COUNT($N111:$P111)=0,"",SUM($N111:$P111))</f>
        <v/>
      </c>
      <c r="R111" s="47">
        <f>IFERROR(IF(Q111="","",ROUND(Q111/$Q$11*100,2)),"")</f>
        <v/>
      </c>
      <c r="S111" s="54">
        <f>IFERROR(IF(R111="","",ROUND(R111*$S$11,2)),"")</f>
        <v/>
      </c>
      <c r="T111" s="265" t="n"/>
      <c r="U111" s="46" t="n"/>
      <c r="V111" s="268" t="n"/>
      <c r="W111" s="272">
        <f>IF(COUNT($T111:$V111)=0,"",SUM($T111:$V111))</f>
        <v/>
      </c>
      <c r="X111" s="352">
        <f>IFERROR(IF(W111="","",ROUND((($T111/$T$11)*30 + ($U111/$U$11)*30 + ($V111/$V$11)*40),2)),"")</f>
        <v/>
      </c>
      <c r="Y111" s="54">
        <f>IFERROR(IF(X111="","",ROUND(X111*$Y$11,2)),"")</f>
        <v/>
      </c>
      <c r="Z111" s="55">
        <f>IFERROR(M111+S111+Y111,"")</f>
        <v/>
      </c>
      <c r="AA111" s="274">
        <f>IFERROR(VLOOKUP(Z111,'Helper(IMPORTANT!)'!$CQ$1:$CR$41,2,TRUE),"")</f>
        <v/>
      </c>
      <c r="AB111" s="170">
        <f t="array" ref="AB111">IF(AA111="", "", _xlfn.IFS(AA111&gt;=90, "A", AA111&gt;=80, "B", AA111&gt;=75, "C", AA111&gt;=65, "D", AA111&gt;=0, "E"))</f>
        <v/>
      </c>
      <c r="AD111" s="39" t="n"/>
      <c r="AG111" s="38" t="n"/>
      <c r="AH111" s="38" t="n"/>
      <c r="AI111" s="38" t="n"/>
    </row>
    <row r="112" ht="18" customHeight="1">
      <c r="A112" s="169" t="n">
        <v>49</v>
      </c>
      <c r="B112" s="442">
        <f>'INPUT DATA'!O59</f>
        <v/>
      </c>
      <c r="C112" s="673" t="n"/>
      <c r="D112" s="673" t="n"/>
      <c r="E112" s="674" t="n"/>
      <c r="F112" s="52" t="n"/>
      <c r="G112" s="49" t="n"/>
      <c r="H112" s="49" t="n"/>
      <c r="I112" s="49" t="n"/>
      <c r="J112" s="49" t="n"/>
      <c r="K112" s="48">
        <f>IF(COUNT($F112:$J112)=0,"",SUM($F112:$J112))</f>
        <v/>
      </c>
      <c r="L112" s="47">
        <f>IFERROR(IF(K112="","",ROUND(K112/$K$11*100,2)),"")</f>
        <v/>
      </c>
      <c r="M112" s="54">
        <f>IFERROR(IF(L112="","",ROUND(L112*$M$11,2)),"")</f>
        <v/>
      </c>
      <c r="N112" s="52" t="n"/>
      <c r="O112" s="49" t="n"/>
      <c r="P112" s="49" t="n"/>
      <c r="Q112" s="48">
        <f>IF(COUNT($N112:$P112)=0,"",SUM($N112:$P112))</f>
        <v/>
      </c>
      <c r="R112" s="47">
        <f>IFERROR(IF(Q112="","",ROUND(Q112/$Q$11*100,2)),"")</f>
        <v/>
      </c>
      <c r="S112" s="54">
        <f>IFERROR(IF(R112="","",ROUND(R112*$S$11,2)),"")</f>
        <v/>
      </c>
      <c r="T112" s="265" t="n"/>
      <c r="U112" s="46" t="n"/>
      <c r="V112" s="268" t="n"/>
      <c r="W112" s="272">
        <f>IF(COUNT($T112:$V112)=0,"",SUM($T112:$V112))</f>
        <v/>
      </c>
      <c r="X112" s="352">
        <f>IFERROR(IF(W112="","",ROUND((($T112/$T$11)*30 + ($U112/$U$11)*30 + ($V112/$V$11)*40),2)),"")</f>
        <v/>
      </c>
      <c r="Y112" s="54">
        <f>IFERROR(IF(X112="","",ROUND(X112*$Y$11,2)),"")</f>
        <v/>
      </c>
      <c r="Z112" s="55">
        <f>IFERROR(M112+S112+Y112,"")</f>
        <v/>
      </c>
      <c r="AA112" s="274">
        <f>IFERROR(VLOOKUP(Z112,'Helper(IMPORTANT!)'!$CQ$1:$CR$41,2,TRUE),"")</f>
        <v/>
      </c>
      <c r="AB112" s="170">
        <f t="array" ref="AB112">IF(AA112="", "", _xlfn.IFS(AA112&gt;=90, "A", AA112&gt;=80, "B", AA112&gt;=75, "C", AA112&gt;=65, "D", AA112&gt;=0, "E"))</f>
        <v/>
      </c>
      <c r="AG112" s="38" t="n"/>
      <c r="AH112" s="38" t="n"/>
      <c r="AI112" s="38" t="n"/>
    </row>
    <row r="113" ht="18" customHeight="1" thickBot="1">
      <c r="A113" s="172" t="n">
        <v>50</v>
      </c>
      <c r="B113" s="444">
        <f>'INPUT DATA'!O60</f>
        <v/>
      </c>
      <c r="C113" s="677" t="n"/>
      <c r="D113" s="677" t="n"/>
      <c r="E113" s="678" t="n"/>
      <c r="F113" s="173" t="n"/>
      <c r="G113" s="174" t="n"/>
      <c r="H113" s="174" t="n"/>
      <c r="I113" s="174" t="n"/>
      <c r="J113" s="174" t="n"/>
      <c r="K113" s="175">
        <f>IF(COUNT($F113:$J113)=0,"",SUM($F113:$J113))</f>
        <v/>
      </c>
      <c r="L113" s="176">
        <f>IFERROR(IF(K113="","",ROUND(K113/$K$11*100,2)),"")</f>
        <v/>
      </c>
      <c r="M113" s="177">
        <f>IFERROR(IF(L113="","",ROUND(L113*$M$11,2)),"")</f>
        <v/>
      </c>
      <c r="N113" s="173" t="n"/>
      <c r="O113" s="174" t="n"/>
      <c r="P113" s="174" t="n"/>
      <c r="Q113" s="175">
        <f>IF(COUNT($N113:$P113)=0,"",SUM($N113:$P113))</f>
        <v/>
      </c>
      <c r="R113" s="176">
        <f>IFERROR(IF(Q113="","",ROUND(Q113/$Q$11*100,2)),"")</f>
        <v/>
      </c>
      <c r="S113" s="177">
        <f>IFERROR(IF(R113="","",ROUND(R113*$S$11,2)),"")</f>
        <v/>
      </c>
      <c r="T113" s="266" t="n"/>
      <c r="U113" s="284" t="n"/>
      <c r="V113" s="269" t="n"/>
      <c r="W113" s="285">
        <f>IF(COUNT($T113:$V113)=0,"",SUM($T113:$V113))</f>
        <v/>
      </c>
      <c r="X113" s="353">
        <f>IFERROR(IF(W113="","",ROUND((($T113/$T$11)*30 + ($U113/$U$11)*30 + ($V113/$V$11)*40),2)),"")</f>
        <v/>
      </c>
      <c r="Y113" s="177">
        <f>IFERROR(IF(X113="","",ROUND(X113*$Y$11,2)),"")</f>
        <v/>
      </c>
      <c r="Z113" s="178">
        <f>IFERROR(M113+S113+Y113,"")</f>
        <v/>
      </c>
      <c r="AA113" s="286">
        <f>IFERROR(VLOOKUP(Z113,'Helper(IMPORTANT!)'!$CQ$1:$CR$41,2,TRUE),"")</f>
        <v/>
      </c>
      <c r="AB113" s="179">
        <f t="array" ref="AB113">IF(AA113="", "", _xlfn.IFS(AA113&gt;=90, "A", AA113&gt;=80, "B", AA113&gt;=75, "C", AA113&gt;=65, "D", AA113&gt;=0, "E"))</f>
        <v/>
      </c>
      <c r="AG113" s="38" t="n"/>
      <c r="AH113" s="38" t="n"/>
      <c r="AI113" s="38" t="n"/>
    </row>
    <row r="114" hidden="1" ht="13.9" customHeight="1">
      <c r="U114" s="283" t="n"/>
    </row>
    <row r="115" hidden="1" ht="13.9" customHeight="1">
      <c r="U115" s="267" t="n"/>
    </row>
    <row r="116" hidden="1" ht="13.9" customHeight="1">
      <c r="U116" s="267" t="n"/>
    </row>
    <row r="117" hidden="1" ht="13.9" customHeight="1">
      <c r="U117" s="282" t="n"/>
    </row>
    <row r="118" ht="13.9" customHeight="1"/>
    <row r="119" ht="13.9" customHeight="1"/>
    <row r="120" ht="13.9" customHeight="1"/>
    <row r="121" ht="13.9" customHeight="1"/>
    <row r="122" ht="13.9" customHeight="1"/>
    <row r="123" ht="13.9" customHeight="1"/>
    <row r="124" ht="13.9" customHeight="1"/>
    <row r="125" ht="13.9" customHeight="1"/>
    <row r="126" ht="13.9" customHeight="1"/>
    <row r="127" ht="13.9" customHeight="1"/>
    <row r="128" ht="13.9" customHeight="1"/>
    <row r="129" ht="13.9" customHeight="1"/>
    <row r="130" ht="13.9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QrJdnqDDb/31dYIjkDz0g==" formatRows="1" sort="1" spinCount="100000" hashValue="8fSxx/zmMBnivzcewjn1kjH7KF5raZwZb8CVyHUB4jUaqsq83vCXrf+Al7ghb8vmHLeAFK+NFe5yezi06zJVwg=="/>
  <mergeCells count="144">
    <mergeCell ref="Q7:R7"/>
    <mergeCell ref="AF20:AX20"/>
    <mergeCell ref="B65:E65"/>
    <mergeCell ref="AF14:AX14"/>
    <mergeCell ref="B74:E74"/>
    <mergeCell ref="B68:E68"/>
    <mergeCell ref="A11:E11"/>
    <mergeCell ref="B36:E36"/>
    <mergeCell ref="B76:E76"/>
    <mergeCell ref="B45:E45"/>
    <mergeCell ref="B110:E110"/>
    <mergeCell ref="Z9:Z11"/>
    <mergeCell ref="A63:AB63"/>
    <mergeCell ref="B113:E113"/>
    <mergeCell ref="B91:E91"/>
    <mergeCell ref="Z5:AB5"/>
    <mergeCell ref="B100:E100"/>
    <mergeCell ref="B109:E109"/>
    <mergeCell ref="B47:E47"/>
    <mergeCell ref="B22:E22"/>
    <mergeCell ref="B93:E93"/>
    <mergeCell ref="B31:E31"/>
    <mergeCell ref="B102:E102"/>
    <mergeCell ref="B21:E21"/>
    <mergeCell ref="B86:E86"/>
    <mergeCell ref="B39:E39"/>
    <mergeCell ref="B101:E101"/>
    <mergeCell ref="B14:E14"/>
    <mergeCell ref="B23:E23"/>
    <mergeCell ref="A7:E8"/>
    <mergeCell ref="AF10:AX10"/>
    <mergeCell ref="B13:E13"/>
    <mergeCell ref="B69:E69"/>
    <mergeCell ref="B38:E38"/>
    <mergeCell ref="B78:E78"/>
    <mergeCell ref="B112:E112"/>
    <mergeCell ref="B87:E87"/>
    <mergeCell ref="A3:AB3"/>
    <mergeCell ref="A12:AB12"/>
    <mergeCell ref="Z7:AB7"/>
    <mergeCell ref="B40:E40"/>
    <mergeCell ref="B49:E49"/>
    <mergeCell ref="B64:E64"/>
    <mergeCell ref="B33:E33"/>
    <mergeCell ref="B104:E104"/>
    <mergeCell ref="A1:AB2"/>
    <mergeCell ref="B51:E51"/>
    <mergeCell ref="X8:Y8"/>
    <mergeCell ref="AF17:AX17"/>
    <mergeCell ref="Z8:AB8"/>
    <mergeCell ref="B32:E32"/>
    <mergeCell ref="B26:E26"/>
    <mergeCell ref="B41:E41"/>
    <mergeCell ref="B35:E35"/>
    <mergeCell ref="B50:E50"/>
    <mergeCell ref="B106:E106"/>
    <mergeCell ref="AF22:AX22"/>
    <mergeCell ref="B16:E16"/>
    <mergeCell ref="AF19:AX19"/>
    <mergeCell ref="B25:E25"/>
    <mergeCell ref="B90:E90"/>
    <mergeCell ref="B66:E66"/>
    <mergeCell ref="B18:E18"/>
    <mergeCell ref="B27:E27"/>
    <mergeCell ref="F7:J8"/>
    <mergeCell ref="B77:E77"/>
    <mergeCell ref="B67:E67"/>
    <mergeCell ref="B61:E61"/>
    <mergeCell ref="B53:E53"/>
    <mergeCell ref="B29:E29"/>
    <mergeCell ref="B103:E103"/>
    <mergeCell ref="B37:E37"/>
    <mergeCell ref="B84:E84"/>
    <mergeCell ref="AF21:AX21"/>
    <mergeCell ref="T9:Y9"/>
    <mergeCell ref="B15:E15"/>
    <mergeCell ref="B55:E55"/>
    <mergeCell ref="AF23:AX23"/>
    <mergeCell ref="B24:E24"/>
    <mergeCell ref="B80:E80"/>
    <mergeCell ref="B95:E95"/>
    <mergeCell ref="B89:E89"/>
    <mergeCell ref="X7:Y7"/>
    <mergeCell ref="B79:E79"/>
    <mergeCell ref="S8:W8"/>
    <mergeCell ref="B97:E97"/>
    <mergeCell ref="B54:E54"/>
    <mergeCell ref="B72:E72"/>
    <mergeCell ref="B81:E81"/>
    <mergeCell ref="AF18:AX18"/>
    <mergeCell ref="A9:E10"/>
    <mergeCell ref="B56:E56"/>
    <mergeCell ref="B71:E71"/>
    <mergeCell ref="B105:E105"/>
    <mergeCell ref="B43:E43"/>
    <mergeCell ref="B58:E58"/>
    <mergeCell ref="B52:E52"/>
    <mergeCell ref="B42:E42"/>
    <mergeCell ref="B107:E107"/>
    <mergeCell ref="B60:E60"/>
    <mergeCell ref="B17:E17"/>
    <mergeCell ref="B57:E57"/>
    <mergeCell ref="AF25:AX25"/>
    <mergeCell ref="AB9:AB11"/>
    <mergeCell ref="B44:E44"/>
    <mergeCell ref="B19:E19"/>
    <mergeCell ref="B34:E34"/>
    <mergeCell ref="B28:E28"/>
    <mergeCell ref="B99:E99"/>
    <mergeCell ref="G5:M5"/>
    <mergeCell ref="AF15:AX15"/>
    <mergeCell ref="B108:E108"/>
    <mergeCell ref="K7:P8"/>
    <mergeCell ref="B83:E83"/>
    <mergeCell ref="B92:E92"/>
    <mergeCell ref="B30:E30"/>
    <mergeCell ref="G4:M4"/>
    <mergeCell ref="B20:E20"/>
    <mergeCell ref="AF26:AX26"/>
    <mergeCell ref="B85:E85"/>
    <mergeCell ref="Q8:R8"/>
    <mergeCell ref="B94:E94"/>
    <mergeCell ref="R5:U5"/>
    <mergeCell ref="B75:E75"/>
    <mergeCell ref="S7:W7"/>
    <mergeCell ref="AF13:AX13"/>
    <mergeCell ref="B62:E62"/>
    <mergeCell ref="B59:E59"/>
    <mergeCell ref="N9:S9"/>
    <mergeCell ref="B46:E46"/>
    <mergeCell ref="R4:U4"/>
    <mergeCell ref="AF24:AX24"/>
    <mergeCell ref="B96:E96"/>
    <mergeCell ref="B70:E70"/>
    <mergeCell ref="B48:E48"/>
    <mergeCell ref="B111:E111"/>
    <mergeCell ref="AA9:AA11"/>
    <mergeCell ref="B98:E98"/>
    <mergeCell ref="F9:M9"/>
    <mergeCell ref="AF16:AX16"/>
    <mergeCell ref="B73:E73"/>
    <mergeCell ref="B88:E88"/>
    <mergeCell ref="W5:Y5"/>
    <mergeCell ref="B82:E82"/>
  </mergeCells>
  <conditionalFormatting sqref="B13:E62">
    <cfRule type="expression" priority="10" dxfId="2">
      <formula>IF($AB13&lt;75,TRUE,FALSE)</formula>
    </cfRule>
  </conditionalFormatting>
  <conditionalFormatting sqref="B64:E113">
    <cfRule type="expression" priority="9" dxfId="2">
      <formula>IF($AB64&lt;75,TRUE,FALSE)</formula>
    </cfRule>
  </conditionalFormatting>
  <conditionalFormatting sqref="L13:L62">
    <cfRule type="cellIs" priority="8" operator="lessThan" dxfId="0">
      <formula>60</formula>
    </cfRule>
  </conditionalFormatting>
  <conditionalFormatting sqref="L64:L113">
    <cfRule type="cellIs" priority="7" operator="lessThan" dxfId="0">
      <formula>60</formula>
    </cfRule>
  </conditionalFormatting>
  <conditionalFormatting sqref="R13:R62">
    <cfRule type="cellIs" priority="6" operator="lessThan" dxfId="0">
      <formula>60</formula>
    </cfRule>
  </conditionalFormatting>
  <conditionalFormatting sqref="R64:R113">
    <cfRule type="cellIs" priority="5" operator="lessThan" dxfId="0">
      <formula>60</formula>
    </cfRule>
  </conditionalFormatting>
  <conditionalFormatting sqref="T11:Y11 T13:Y29 T30:T39 T41:Y62 T64:Y113 U30:Y40">
    <cfRule type="expression" priority="2" dxfId="5">
      <formula>$Y$11=0</formula>
    </cfRule>
  </conditionalFormatting>
  <conditionalFormatting sqref="X13:X62 X64:X113">
    <cfRule type="cellIs" priority="4" operator="lessThan" dxfId="0">
      <formula>60</formula>
    </cfRule>
  </conditionalFormatting>
  <conditionalFormatting sqref="X64:X113">
    <cfRule type="cellIs" priority="1" operator="lessThan" dxfId="0">
      <formula>60</formula>
    </cfRule>
  </conditionalFormatting>
  <conditionalFormatting sqref="AB13:AB62 AB64:AB113">
    <cfRule type="cellIs" priority="3" operator="lessThan" dxfId="0">
      <formula>75</formula>
    </cfRule>
  </conditionalFormatting>
  <dataValidations count="53">
    <dataValidation sqref="AB13:AB62 AB64:AB113" showDropDown="0" showInputMessage="1" showErrorMessage="0" allowBlank="1" prompt="QUARTERLY GRADE (TRANSMUTED GRADE)"/>
    <dataValidation sqref="F9:S9" showDropDown="0" showInputMessage="1" showErrorMessage="1" allowBlank="1" promptTitle="Go to INPUT DATA SHEET" prompt="Then select your TRACK from the Drop-down List."/>
    <dataValidation sqref="F11:J11 N11:P11 T11:W11 W13:W62 W64:W113" showDropDown="0" showInputMessage="1" showErrorMessage="0" allowBlank="1" prompt="Either encode Highest Possible Score or Empty" type="list">
      <formula1>#REF!</formula1>
    </dataValidation>
    <dataValidation sqref="F11:J11 N11:P11 T11:W11 W13:W62 W64:W113" showDropDown="0" showInputMessage="1" showErrorMessage="0" allowBlank="1" prompt="Either encode Highest Possible Score or Empty" type="list" errorStyle="information">
      <formula1>#REF!</formula1>
    </dataValidation>
    <dataValidation sqref="T9:Y9" showDropDown="0" showInputMessage="1" showErrorMessage="1" allowBlank="1" promptTitle="Go to INPUT DATA sheet" prompt="Then select your TRACK from the Drop-down List."/>
    <dataValidation sqref="A12 A63" showDropDown="0" showInputMessage="0" showErrorMessage="1" allowBlank="1"/>
    <dataValidation sqref="Z13:AA62 Z64:AA113" showDropDown="0" showInputMessage="1" showErrorMessage="0" allowBlank="1" prompt="INITIAL GRADE"/>
    <dataValidation sqref="Y11" showDropDown="0" showInputMessage="1" showErrorMessage="0" allowBlank="1" prompt="Quarterly Assessment's Weighted Score"/>
    <dataValidation sqref="Y11" showDropDown="0" showInputMessage="1" showErrorMessage="1" allowBlank="1" prompt="Quarterly Assessment's Weighted Score"/>
    <dataValidation sqref="X11" showDropDown="0" showInputMessage="1" showErrorMessage="0" allowBlank="1" prompt="Quarterly Assessment's Percentage Score"/>
    <dataValidation sqref="X11" showDropDown="0" showInputMessage="1" showErrorMessage="1" allowBlank="1" prompt="Quarterly Assessment's Percentage Score"/>
    <dataValidation sqref="S11 S13:S62 S64:S113 Y13:Y62 Y64:Y113" showDropDown="0" showInputMessage="1" showErrorMessage="0" allowBlank="1" prompt="Performance Tasks' Weighted Score"/>
    <dataValidation sqref="S11" showDropDown="0" showInputMessage="1" showErrorMessage="1" allowBlank="1" prompt="Performance Tasks' Weighted Score"/>
    <dataValidation sqref="M11 M13:M62 M64:M113" showDropDown="0" showInputMessage="1" showErrorMessage="0" allowBlank="1" prompt="Written Works' Weighted Score"/>
    <dataValidation sqref="M11" showDropDown="0" showInputMessage="1" showErrorMessage="1" allowBlank="1" prompt="Written Works' Weighted Score"/>
    <dataValidation sqref="R11 R13:R62 R64:R113 X13:X62 X64:X113" showDropDown="0" showInputMessage="1" showErrorMessage="0" allowBlank="1" prompt="Performance Tasks' Percentage Score"/>
    <dataValidation sqref="R11" showDropDown="0" showInputMessage="1" showErrorMessage="1" allowBlank="1" prompt="Performance Tasks' Percentage Score"/>
    <dataValidation sqref="L11 L13:L62 L64:L113" showDropDown="0" showInputMessage="1" showErrorMessage="0" allowBlank="1" prompt="Written Works' Percentage Score"/>
    <dataValidation sqref="L11" showDropDown="0" showInputMessage="1" showErrorMessage="1" allowBlank="1" prompt="Written Works' Percentage Score"/>
    <dataValidation sqref="Q11" showDropDown="0" showInputMessage="1" showErrorMessage="0" allowBlank="1" prompt="Performance Tasks' Highest Possible Score"/>
    <dataValidation sqref="Q11" showDropDown="0" showInputMessage="1" showErrorMessage="1" allowBlank="1" prompt="Performance Tasks' Total Highest Possible Score"/>
    <dataValidation sqref="K11" showDropDown="0" showInputMessage="1" showErrorMessage="0" allowBlank="1" prompt="Written Works' Total Highest Possible Score"/>
    <dataValidation sqref="K11" showDropDown="0" showInputMessage="1" showErrorMessage="1" allowBlank="1" prompt="Written Works' Total Highest Possible Score"/>
    <dataValidation sqref="B13:B62 B64:B113" showDropDown="0" showInputMessage="1" showErrorMessage="0" allowBlank="1" prompt="Do not type name of learners here. Go to INPUT DATA sheet."/>
    <dataValidation sqref="Q13:Q62 Q64:Q113" showDropDown="0" showInputMessage="1" showErrorMessage="1" allowBlank="1" prompt="Performance Tasks' Total Raw Scores"/>
    <dataValidation sqref="K13:K62 K64:K113" showDropDown="0" showInputMessage="1" showErrorMessage="1" allowBlank="1" prompt="Written Works' Total Raw Score"/>
    <dataValidation sqref="A11 A13:A62" showDropDown="0" showInputMessage="0" showErrorMessage="0" allowBlank="1"/>
    <dataValidation sqref="L10 R10 X10" showDropDown="0" showInputMessage="1" showErrorMessage="1" allowBlank="1" prompt="Percentage"/>
  </dataValidations>
  <printOptions horizontalCentered="1"/>
  <pageMargins left="0.4" right="0.4" top="0.5" bottom="0.5" header="0.3" footer="0.3"/>
  <pageSetup orientation="landscape" paperSize="9" scale="69" fitToHeight="3" verticalDpi="300"/>
  <colBreaks count="1" manualBreakCount="1">
    <brk id="28" min="0" max="1048575" man="1"/>
  </col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AI117"/>
  <sheetViews>
    <sheetView showGridLines="0" zoomScale="101" zoomScaleNormal="90" zoomScaleSheetLayoutView="100" workbookViewId="0">
      <pane ySplit="11" topLeftCell="A64" activePane="bottomLeft" state="frozen"/>
      <selection pane="bottomLeft" activeCell="V68" sqref="V68"/>
    </sheetView>
  </sheetViews>
  <sheetFormatPr baseColWidth="8" defaultColWidth="0" defaultRowHeight="13.9" customHeight="1" zeroHeight="1"/>
  <cols>
    <col width="4.140625" customWidth="1" style="39" min="1" max="1"/>
    <col width="28.7109375" customWidth="1" style="39" min="2" max="2"/>
    <col width="3.28515625" customWidth="1" style="39" min="3" max="5"/>
    <col width="4.28515625" customWidth="1" style="39" min="6" max="10"/>
    <col width="6.28515625" customWidth="1" style="39" min="11" max="11"/>
    <col width="7.140625" customWidth="1" style="36" min="12" max="13"/>
    <col width="4.28515625" customWidth="1" style="39" min="14" max="16"/>
    <col width="6.28515625" customWidth="1" style="39" min="17" max="17"/>
    <col width="7.140625" customWidth="1" style="36" min="18" max="18"/>
    <col width="7.7109375" customWidth="1" style="36" min="19" max="19"/>
    <col width="5.7109375" customWidth="1" style="39" min="20" max="22"/>
    <col width="6.28515625" customWidth="1" style="39" min="23" max="23"/>
    <col width="7.140625" customWidth="1" style="36" min="24" max="25"/>
    <col width="10.28515625" customWidth="1" style="36" min="26" max="26"/>
    <col width="11" customWidth="1" style="276" min="27" max="27"/>
    <col width="10.28515625" customWidth="1" style="35" min="28" max="28"/>
    <col width="4.7109375" customWidth="1" style="38" min="29" max="29"/>
    <col hidden="1" width="4.7109375" customWidth="1" style="38" min="30" max="31"/>
    <col hidden="1" width="4.7109375" customWidth="1" style="450" min="32" max="35"/>
  </cols>
  <sheetData>
    <row r="1" ht="15" customFormat="1" customHeight="1" s="450">
      <c r="A1" s="474" t="inlineStr">
        <is>
          <t>Strengthened Senior High School Class Record</t>
        </is>
      </c>
      <c r="B1" s="649" t="n"/>
      <c r="C1" s="649" t="n"/>
      <c r="D1" s="649" t="n"/>
      <c r="E1" s="649" t="n"/>
      <c r="F1" s="649" t="n"/>
      <c r="G1" s="649" t="n"/>
      <c r="H1" s="649" t="n"/>
      <c r="I1" s="649" t="n"/>
      <c r="J1" s="649" t="n"/>
      <c r="K1" s="649" t="n"/>
      <c r="L1" s="649" t="n"/>
      <c r="M1" s="649" t="n"/>
      <c r="N1" s="649" t="n"/>
      <c r="O1" s="649" t="n"/>
      <c r="P1" s="649" t="n"/>
      <c r="Q1" s="649" t="n"/>
      <c r="R1" s="649" t="n"/>
      <c r="S1" s="649" t="n"/>
      <c r="T1" s="649" t="n"/>
      <c r="U1" s="649" t="n"/>
      <c r="V1" s="649" t="n"/>
      <c r="W1" s="649" t="n"/>
      <c r="X1" s="649" t="n"/>
      <c r="Y1" s="649" t="n"/>
      <c r="Z1" s="649" t="n"/>
      <c r="AA1" s="649" t="n"/>
      <c r="AB1" s="649" t="n"/>
      <c r="AC1" s="38" t="n"/>
      <c r="AD1" s="38" t="n"/>
      <c r="AE1" s="38" t="n"/>
    </row>
    <row r="2" ht="15" customFormat="1" customHeight="1" s="450">
      <c r="A2" s="649" t="n"/>
      <c r="B2" s="649" t="n"/>
      <c r="C2" s="649" t="n"/>
      <c r="D2" s="649" t="n"/>
      <c r="E2" s="649" t="n"/>
      <c r="F2" s="649" t="n"/>
      <c r="G2" s="649" t="n"/>
      <c r="H2" s="649" t="n"/>
      <c r="I2" s="649" t="n"/>
      <c r="J2" s="649" t="n"/>
      <c r="K2" s="649" t="n"/>
      <c r="L2" s="649" t="n"/>
      <c r="M2" s="649" t="n"/>
      <c r="N2" s="649" t="n"/>
      <c r="O2" s="649" t="n"/>
      <c r="P2" s="649" t="n"/>
      <c r="Q2" s="649" t="n"/>
      <c r="R2" s="649" t="n"/>
      <c r="S2" s="649" t="n"/>
      <c r="T2" s="649" t="n"/>
      <c r="U2" s="649" t="n"/>
      <c r="V2" s="649" t="n"/>
      <c r="W2" s="649" t="n"/>
      <c r="X2" s="649" t="n"/>
      <c r="Y2" s="649" t="n"/>
      <c r="Z2" s="649" t="n"/>
      <c r="AA2" s="649" t="n"/>
      <c r="AB2" s="649" t="n"/>
      <c r="AC2" s="38" t="n"/>
      <c r="AD2" s="38" t="n"/>
      <c r="AE2" s="38" t="n"/>
    </row>
    <row r="3" ht="15" customFormat="1" customHeight="1" s="450" thickBot="1">
      <c r="A3" s="475" t="inlineStr">
        <is>
          <t>(Pursuant to Deped Order 15 series of 2026)</t>
        </is>
      </c>
      <c r="B3" s="649" t="n"/>
      <c r="C3" s="649" t="n"/>
      <c r="D3" s="649" t="n"/>
      <c r="E3" s="649" t="n"/>
      <c r="F3" s="649" t="n"/>
      <c r="G3" s="649" t="n"/>
      <c r="H3" s="649" t="n"/>
      <c r="I3" s="649" t="n"/>
      <c r="J3" s="649" t="n"/>
      <c r="K3" s="649" t="n"/>
      <c r="L3" s="649" t="n"/>
      <c r="M3" s="649" t="n"/>
      <c r="N3" s="649" t="n"/>
      <c r="O3" s="649" t="n"/>
      <c r="P3" s="649" t="n"/>
      <c r="Q3" s="649" t="n"/>
      <c r="R3" s="649" t="n"/>
      <c r="S3" s="649" t="n"/>
      <c r="T3" s="649" t="n"/>
      <c r="U3" s="649" t="n"/>
      <c r="V3" s="649" t="n"/>
      <c r="W3" s="649" t="n"/>
      <c r="X3" s="649" t="n"/>
      <c r="Y3" s="649" t="n"/>
      <c r="Z3" s="649" t="n"/>
      <c r="AA3" s="649" t="n"/>
      <c r="AB3" s="649" t="n"/>
      <c r="AC3" s="38" t="n"/>
      <c r="AD3" s="38" t="n"/>
      <c r="AE3" s="38" t="n"/>
    </row>
    <row r="4" ht="21" customFormat="1" customHeight="1" s="450" thickBot="1">
      <c r="A4" s="39" t="n"/>
      <c r="B4" s="40" t="n"/>
      <c r="C4" s="39" t="n"/>
      <c r="D4" s="113" t="n"/>
      <c r="E4" s="113" t="n"/>
      <c r="F4" s="520" t="inlineStr">
        <is>
          <t>REGION</t>
        </is>
      </c>
      <c r="G4" s="479">
        <f>'INPUT DATA'!F10</f>
        <v/>
      </c>
      <c r="H4" s="650" t="n"/>
      <c r="I4" s="650" t="n"/>
      <c r="J4" s="650" t="n"/>
      <c r="K4" s="650" t="n"/>
      <c r="L4" s="650" t="n"/>
      <c r="M4" s="651" t="n"/>
      <c r="N4" s="33" t="n"/>
      <c r="O4" s="277" t="inlineStr">
        <is>
          <t>DIVISION</t>
        </is>
      </c>
      <c r="P4" s="277" t="n"/>
      <c r="Q4" s="263" t="n"/>
      <c r="R4" s="504">
        <f>'INPUT DATA'!F11</f>
        <v/>
      </c>
      <c r="S4" s="650" t="n"/>
      <c r="T4" s="650" t="n"/>
      <c r="U4" s="651" t="n"/>
      <c r="V4" s="33" t="n"/>
      <c r="W4" s="33" t="n"/>
      <c r="X4" s="33" t="n"/>
      <c r="Y4" s="33" t="n"/>
      <c r="Z4" s="33" t="n"/>
      <c r="AA4" s="33" t="n"/>
      <c r="AB4" s="8" t="n"/>
      <c r="AC4" s="8" t="n"/>
      <c r="AD4" s="8" t="n"/>
      <c r="AE4" s="8" t="n"/>
      <c r="AF4" s="8" t="n"/>
    </row>
    <row r="5" ht="21" customFormat="1" customHeight="1" s="450" thickBot="1">
      <c r="A5" s="39" t="n"/>
      <c r="B5" s="39" t="n"/>
      <c r="C5" s="113" t="n"/>
      <c r="D5" s="113" t="n"/>
      <c r="E5" s="113" t="n"/>
      <c r="F5" s="520" t="inlineStr">
        <is>
          <t>SCHOOL NAME</t>
        </is>
      </c>
      <c r="G5" s="652">
        <f>'INPUT DATA'!F14</f>
        <v/>
      </c>
      <c r="H5" s="650" t="n"/>
      <c r="I5" s="650" t="n"/>
      <c r="J5" s="650" t="n"/>
      <c r="K5" s="650" t="n"/>
      <c r="L5" s="650" t="n"/>
      <c r="M5" s="653" t="n"/>
      <c r="N5" s="523" t="n"/>
      <c r="O5" s="277" t="inlineStr">
        <is>
          <t>SCHOOL ID</t>
        </is>
      </c>
      <c r="P5" s="277" t="n"/>
      <c r="Q5" s="32" t="n"/>
      <c r="R5" s="654">
        <f>IF('INPUT DATA'!F13="","", 'INPUT DATA'!F13)</f>
        <v/>
      </c>
      <c r="S5" s="650" t="n"/>
      <c r="T5" s="650" t="n"/>
      <c r="U5" s="653" t="n"/>
      <c r="V5" s="277" t="n"/>
      <c r="W5" s="655" t="inlineStr">
        <is>
          <t>SCHOOL YEAR</t>
        </is>
      </c>
      <c r="X5" s="650" t="n"/>
      <c r="Y5" s="653" t="n"/>
      <c r="Z5" s="656">
        <f>'INPUT DATA'!F16</f>
        <v/>
      </c>
      <c r="AA5" s="650" t="n"/>
      <c r="AB5" s="653" t="n"/>
      <c r="AC5" s="8" t="n"/>
      <c r="AD5" s="8" t="n"/>
      <c r="AE5" s="8" t="n"/>
      <c r="AF5" s="8" t="n"/>
    </row>
    <row r="6" ht="15" customFormat="1" customHeight="1" s="450" thickBot="1">
      <c r="A6" s="168" t="n"/>
      <c r="B6" s="520" t="n"/>
      <c r="C6" s="520" t="n"/>
      <c r="D6" s="520" t="n"/>
      <c r="E6" s="520" t="n"/>
      <c r="F6" s="520" t="n"/>
      <c r="G6" s="32" t="n"/>
      <c r="H6" s="32" t="n"/>
      <c r="I6" s="32" t="n"/>
      <c r="J6" s="32" t="n"/>
      <c r="K6" s="32" t="n"/>
      <c r="L6" s="32" t="n"/>
      <c r="M6" s="32" t="n"/>
      <c r="N6" s="523" t="n"/>
      <c r="O6" s="28" t="n"/>
      <c r="P6" s="28" t="n"/>
      <c r="Q6" s="32" t="n"/>
      <c r="R6" s="28" t="n"/>
      <c r="S6" s="28" t="n"/>
      <c r="T6" s="28" t="n"/>
      <c r="U6" s="28" t="n"/>
      <c r="V6" s="28" t="n"/>
      <c r="W6" s="28" t="n"/>
      <c r="X6" s="32" t="n"/>
      <c r="Y6" s="32" t="n"/>
      <c r="Z6" s="32" t="n"/>
      <c r="AA6" s="32" t="n"/>
      <c r="AB6" s="31" t="n"/>
      <c r="AC6" s="8" t="n"/>
      <c r="AD6" s="8" t="n"/>
      <c r="AE6" s="8" t="n"/>
      <c r="AF6" s="8" t="n"/>
    </row>
    <row r="7" ht="26.25" customHeight="1" thickBot="1">
      <c r="A7" s="657" t="inlineStr">
        <is>
          <t xml:space="preserve">SECOND TERM </t>
        </is>
      </c>
      <c r="B7" s="658" t="n"/>
      <c r="C7" s="658" t="n"/>
      <c r="D7" s="658" t="n"/>
      <c r="E7" s="659" t="n"/>
      <c r="F7" s="660" t="inlineStr">
        <is>
          <t>GRADE LEVEL  AND SECTION</t>
        </is>
      </c>
      <c r="G7" s="658" t="n"/>
      <c r="H7" s="658" t="n"/>
      <c r="I7" s="658" t="n"/>
      <c r="J7" s="658" t="n"/>
      <c r="K7" s="661">
        <f>'INPUT DATA'!F24&amp;" - "&amp;'INPUT DATA'!F25</f>
        <v/>
      </c>
      <c r="L7" s="658" t="n"/>
      <c r="M7" s="658" t="n"/>
      <c r="N7" s="658" t="n"/>
      <c r="O7" s="658" t="n"/>
      <c r="P7" s="662" t="n"/>
      <c r="Q7" s="503" t="inlineStr">
        <is>
          <t>TEACHER:</t>
        </is>
      </c>
      <c r="R7" s="650" t="n"/>
      <c r="S7" s="512">
        <f>IF('INPUT DATA'!F22="","", 'INPUT DATA'!F22)</f>
        <v/>
      </c>
      <c r="T7" s="650" t="n"/>
      <c r="U7" s="650" t="n"/>
      <c r="V7" s="650" t="n"/>
      <c r="W7" s="650" t="n"/>
      <c r="X7" s="510" t="inlineStr">
        <is>
          <t>SUBJECT:</t>
        </is>
      </c>
      <c r="Y7" s="651" t="n"/>
      <c r="Z7" s="507">
        <f>IF('INPUT DATA'!F30&lt;&gt;"",'INPUT DATA'!F30,'INPUT DATA'!F28)</f>
        <v/>
      </c>
      <c r="AA7" s="650" t="n"/>
      <c r="AB7" s="651" t="n"/>
    </row>
    <row r="8" ht="23.25" customHeight="1" thickBot="1">
      <c r="A8" s="663" t="n"/>
      <c r="B8" s="664" t="n"/>
      <c r="C8" s="664" t="n"/>
      <c r="D8" s="664" t="n"/>
      <c r="E8" s="665" t="n"/>
      <c r="F8" s="666" t="n"/>
      <c r="G8" s="664" t="n"/>
      <c r="H8" s="664" t="n"/>
      <c r="I8" s="664" t="n"/>
      <c r="J8" s="664" t="n"/>
      <c r="K8" s="663" t="n"/>
      <c r="L8" s="664" t="n"/>
      <c r="M8" s="664" t="n"/>
      <c r="N8" s="664" t="n"/>
      <c r="O8" s="664" t="n"/>
      <c r="P8" s="667" t="n"/>
      <c r="Q8" s="486" t="inlineStr">
        <is>
          <t>TRACK:</t>
        </is>
      </c>
      <c r="R8" s="650" t="n"/>
      <c r="S8" s="519">
        <f>'INPUT DATA'!F23</f>
        <v/>
      </c>
      <c r="T8" s="650" t="n"/>
      <c r="U8" s="650" t="n"/>
      <c r="V8" s="650" t="n"/>
      <c r="W8" s="650" t="n"/>
      <c r="X8" s="501" t="inlineStr">
        <is>
          <t>SUBJECT TYPE:</t>
        </is>
      </c>
      <c r="Y8" s="650" t="n"/>
      <c r="Z8" s="500">
        <f>'INPUT DATA'!F26</f>
        <v/>
      </c>
      <c r="AA8" s="650" t="n"/>
      <c r="AB8" s="653" t="n"/>
    </row>
    <row r="9" ht="55.5" customFormat="1" customHeight="1" s="35" thickBot="1">
      <c r="A9" s="456" t="inlineStr">
        <is>
          <t>LEARNERS' NAMES</t>
        </is>
      </c>
      <c r="B9" s="649" t="n"/>
      <c r="C9" s="649" t="n"/>
      <c r="D9" s="649" t="n"/>
      <c r="E9" s="649" t="n"/>
      <c r="F9" s="668">
        <f>IF('INPUT DATA'!$F$26="","",INDEX('Helper(IMPORTANT!)'!$CI$2:$CI$6,MATCH(Z8,'Helper(IMPORTANT!)'!$CH$2:$CH$6,0)))</f>
        <v/>
      </c>
      <c r="G9" s="664" t="n"/>
      <c r="H9" s="664" t="n"/>
      <c r="I9" s="664" t="n"/>
      <c r="J9" s="664" t="n"/>
      <c r="K9" s="664" t="n"/>
      <c r="L9" s="664" t="n"/>
      <c r="M9" s="665" t="n"/>
      <c r="N9" s="668">
        <f>IF('INPUT DATA'!$F$26="","",INDEX('Helper(IMPORTANT!)'!$CJ$2:$CJ$6,MATCH(Z8,'Helper(IMPORTANT!)'!$CH$2:$CH$6,0)))</f>
        <v/>
      </c>
      <c r="O9" s="664" t="n"/>
      <c r="P9" s="664" t="n"/>
      <c r="Q9" s="664" t="n"/>
      <c r="R9" s="664" t="n"/>
      <c r="S9" s="665" t="n"/>
      <c r="T9" s="668">
        <f>IF('INPUT DATA'!$F$26="","",INDEX('Helper(IMPORTANT!)'!$CK$2:$CK$6,MATCH(Z8,'Helper(IMPORTANT!)'!$CH$2:$CH$6,0)))</f>
        <v/>
      </c>
      <c r="U9" s="664" t="n"/>
      <c r="V9" s="664" t="n"/>
      <c r="W9" s="664" t="n"/>
      <c r="X9" s="664" t="n"/>
      <c r="Y9" s="665" t="n"/>
      <c r="Z9" s="464" t="inlineStr">
        <is>
          <t>Initial
Grade</t>
        </is>
      </c>
      <c r="AA9" s="453" t="inlineStr">
        <is>
          <t>Transmuted Grade</t>
        </is>
      </c>
      <c r="AB9" s="452" t="inlineStr">
        <is>
          <t>Letter Grade</t>
        </is>
      </c>
    </row>
    <row r="10" ht="18" customFormat="1" customHeight="1" s="35" thickBot="1">
      <c r="A10" s="663" t="n"/>
      <c r="B10" s="664" t="n"/>
      <c r="C10" s="664" t="n"/>
      <c r="D10" s="664" t="n"/>
      <c r="E10" s="664" t="n"/>
      <c r="F10" s="50" t="n">
        <v>1</v>
      </c>
      <c r="G10" s="44" t="n">
        <v>2</v>
      </c>
      <c r="H10" s="44" t="n">
        <v>3</v>
      </c>
      <c r="I10" s="44" t="n">
        <v>4</v>
      </c>
      <c r="J10" s="44" t="n">
        <v>5</v>
      </c>
      <c r="K10" s="34" t="inlineStr">
        <is>
          <t>Total</t>
        </is>
      </c>
      <c r="L10" s="43" t="inlineStr">
        <is>
          <t>PS</t>
        </is>
      </c>
      <c r="M10" s="53" t="inlineStr">
        <is>
          <t>WS</t>
        </is>
      </c>
      <c r="N10" s="50" t="n">
        <v>1</v>
      </c>
      <c r="O10" s="44" t="n">
        <v>2</v>
      </c>
      <c r="P10" s="44" t="n">
        <v>3</v>
      </c>
      <c r="Q10" s="34" t="inlineStr">
        <is>
          <t>Total</t>
        </is>
      </c>
      <c r="R10" s="43" t="inlineStr">
        <is>
          <t>PS</t>
        </is>
      </c>
      <c r="S10" s="53" t="inlineStr">
        <is>
          <t>WS</t>
        </is>
      </c>
      <c r="T10" s="357" t="inlineStr">
        <is>
          <t>SA1</t>
        </is>
      </c>
      <c r="U10" s="358" t="inlineStr">
        <is>
          <t>SA2</t>
        </is>
      </c>
      <c r="V10" s="358" t="inlineStr">
        <is>
          <t>TE</t>
        </is>
      </c>
      <c r="W10" s="358" t="inlineStr">
        <is>
          <t>Total</t>
        </is>
      </c>
      <c r="X10" s="43" t="inlineStr">
        <is>
          <t>PS</t>
        </is>
      </c>
      <c r="Y10" s="53" t="inlineStr">
        <is>
          <t>WS</t>
        </is>
      </c>
      <c r="Z10" s="669" t="n"/>
      <c r="AA10" s="670" t="n"/>
      <c r="AB10" s="670" t="n"/>
      <c r="AF10" s="450" t="n"/>
      <c r="AG10" s="649" t="n"/>
      <c r="AH10" s="649" t="n"/>
      <c r="AI10" s="649" t="n"/>
    </row>
    <row r="11" ht="18" customFormat="1" customHeight="1" s="451" thickBot="1">
      <c r="A11" s="454" t="inlineStr">
        <is>
          <t>HIGHEST POSSIBLE SCORE</t>
        </is>
      </c>
      <c r="B11" s="649" t="n"/>
      <c r="C11" s="649" t="n"/>
      <c r="D11" s="649" t="n"/>
      <c r="E11" s="649" t="n"/>
      <c r="F11" s="261" t="n"/>
      <c r="G11" s="262" t="n"/>
      <c r="H11" s="262" t="n"/>
      <c r="I11" s="262" t="n"/>
      <c r="J11" s="262" t="n"/>
      <c r="K11" s="57">
        <f>IF(COUNT($F11:$J11)=0,"",SUM($F11:$J11))</f>
        <v/>
      </c>
      <c r="L11" s="56" t="n">
        <v>100</v>
      </c>
      <c r="M11" s="58">
        <f>IF('INPUT DATA'!$F$26="","",INDEX('Helper(IMPORTANT!)'!$CL$2:$CL$6,MATCH(Z8,'Helper(IMPORTANT!)'!$CH$2:$CH$6,0)))</f>
        <v/>
      </c>
      <c r="N11" s="261" t="n"/>
      <c r="O11" s="262" t="n"/>
      <c r="P11" s="262" t="n"/>
      <c r="Q11" s="57">
        <f>IF(COUNT($N11:$P11)=0,"",SUM($N11:$P11))</f>
        <v/>
      </c>
      <c r="R11" s="56" t="n">
        <v>100</v>
      </c>
      <c r="S11" s="58">
        <f>IF('INPUT DATA'!$F$26="","",INDEX('Helper(IMPORTANT!)'!$CM$2:$CM$6,MATCH(Z8,'Helper(IMPORTANT!)'!$CH$2:$CH$6,0)))</f>
        <v/>
      </c>
      <c r="T11" s="264" t="n"/>
      <c r="U11" s="262" t="n"/>
      <c r="V11" s="262" t="n"/>
      <c r="W11" s="355">
        <f>IF(COUNT($T11:$V11)=0,"",SUM($T11:$V11))</f>
        <v/>
      </c>
      <c r="X11" s="270" t="n">
        <v>100</v>
      </c>
      <c r="Y11" s="58">
        <f>IF('INPUT DATA'!$F$26="","",INDEX('Helper(IMPORTANT!)'!$CN$2:$CN$6,MATCH(Z8,'Helper(IMPORTANT!)'!$CH$2:$CH$6,0)))</f>
        <v/>
      </c>
      <c r="Z11" s="669" t="n"/>
      <c r="AA11" s="671" t="n"/>
      <c r="AB11" s="670" t="n"/>
      <c r="AF11" s="450" t="n"/>
      <c r="AG11" s="450" t="n"/>
      <c r="AH11" s="450" t="n"/>
      <c r="AI11" s="450" t="n"/>
    </row>
    <row r="12" ht="18" customFormat="1" customHeight="1" s="451" thickBot="1">
      <c r="A12" s="672" t="inlineStr">
        <is>
          <t xml:space="preserve">MALE </t>
        </is>
      </c>
      <c r="B12" s="650" t="n"/>
      <c r="C12" s="650" t="n"/>
      <c r="D12" s="650" t="n"/>
      <c r="E12" s="650" t="n"/>
      <c r="F12" s="650" t="n"/>
      <c r="G12" s="650" t="n"/>
      <c r="H12" s="650" t="n"/>
      <c r="I12" s="650" t="n"/>
      <c r="J12" s="650" t="n"/>
      <c r="K12" s="650" t="n"/>
      <c r="L12" s="650" t="n"/>
      <c r="M12" s="650" t="n"/>
      <c r="N12" s="650" t="n"/>
      <c r="O12" s="650" t="n"/>
      <c r="P12" s="650" t="n"/>
      <c r="Q12" s="650" t="n"/>
      <c r="R12" s="650" t="n"/>
      <c r="S12" s="650" t="n"/>
      <c r="T12" s="650" t="n"/>
      <c r="U12" s="650" t="n"/>
      <c r="V12" s="650" t="n"/>
      <c r="W12" s="650" t="n"/>
      <c r="X12" s="650" t="n"/>
      <c r="Y12" s="650" t="n"/>
      <c r="Z12" s="650" t="n"/>
      <c r="AA12" s="650" t="n"/>
      <c r="AB12" s="653" t="n"/>
      <c r="AF12" s="450" t="n"/>
      <c r="AG12" s="450" t="n"/>
      <c r="AH12" s="450" t="n"/>
      <c r="AI12" s="450" t="n"/>
    </row>
    <row r="13" ht="18" customHeight="1">
      <c r="A13" s="169" t="n">
        <v>1</v>
      </c>
      <c r="B13" s="442">
        <f>'INPUT DATA'!L11</f>
        <v/>
      </c>
      <c r="C13" s="673" t="n"/>
      <c r="D13" s="673" t="n"/>
      <c r="E13" s="674" t="n"/>
      <c r="F13" s="51" t="n"/>
      <c r="G13" s="46" t="n"/>
      <c r="H13" s="46" t="n"/>
      <c r="I13" s="46" t="n"/>
      <c r="J13" s="46" t="n"/>
      <c r="K13" s="48">
        <f>IF(COUNT($F13:$J13)=0,"",SUM($F13:$J13))</f>
        <v/>
      </c>
      <c r="L13" s="47">
        <f>IFERROR(IF(K13="","",ROUND(K13/$K$11*100,2)),"")</f>
        <v/>
      </c>
      <c r="M13" s="54">
        <f>IFERROR(IF(L13="","",ROUND(L13*$M$11,2)),"")</f>
        <v/>
      </c>
      <c r="N13" s="51" t="n"/>
      <c r="O13" s="46" t="n"/>
      <c r="P13" s="46" t="n"/>
      <c r="Q13" s="48">
        <f>IF(COUNT($N13:$P13)=0,"",SUM($N13:$P13))</f>
        <v/>
      </c>
      <c r="R13" s="47">
        <f>IFERROR(IF(Q13="","",ROUND(Q13/$Q$11*100,2)),"")</f>
        <v/>
      </c>
      <c r="S13" s="54">
        <f>IFERROR(IF(R13="","",ROUND(R13*$S$11,2)),"")</f>
        <v/>
      </c>
      <c r="T13" s="287" t="n"/>
      <c r="U13" s="45" t="n"/>
      <c r="V13" s="273" t="n"/>
      <c r="W13" s="297">
        <f>IF(COUNT($T13:$V13)=0,"",SUM($T13:$V13))</f>
        <v/>
      </c>
      <c r="X13" s="271">
        <f>IFERROR(IF(W13="","",ROUND((($T13/$T$11)*30 + ($U13/$U$11)*30 + ($V13/$V$11)*40),2)),"")</f>
        <v/>
      </c>
      <c r="Y13" s="54">
        <f>IFERROR(IF(X13="","",ROUND(X13*$Y$11,2)),"")</f>
        <v/>
      </c>
      <c r="Z13" s="55">
        <f>IFERROR(M13+S13+Y13,"")</f>
        <v/>
      </c>
      <c r="AA13" s="274">
        <f>IFERROR(VLOOKUP(Z13,'Helper(IMPORTANT!)'!$CQ$1:$CR$41,2,TRUE),"")</f>
        <v/>
      </c>
      <c r="AB13" s="170">
        <f t="array" ref="AB13">IF(AA13="", "", _xlfn.IFS(AA13&gt;=90, "A", AA13&gt;=80, "B", AA13&gt;=75, "C", AA13&gt;=65, "D", AA13&gt;=0, "E"))</f>
        <v/>
      </c>
      <c r="AD13" s="39" t="n"/>
      <c r="AF13" s="451" t="n"/>
      <c r="AG13" s="649" t="n"/>
      <c r="AH13" s="649" t="n"/>
      <c r="AI13" s="649" t="n"/>
    </row>
    <row r="14" ht="18" customHeight="1">
      <c r="A14" s="169" t="n">
        <v>2</v>
      </c>
      <c r="B14" s="442">
        <f>'INPUT DATA'!L12</f>
        <v/>
      </c>
      <c r="C14" s="673" t="n"/>
      <c r="D14" s="673" t="n"/>
      <c r="E14" s="674" t="n"/>
      <c r="F14" s="51" t="n"/>
      <c r="G14" s="46" t="n"/>
      <c r="H14" s="46" t="n"/>
      <c r="I14" s="46" t="n"/>
      <c r="J14" s="46" t="n"/>
      <c r="K14" s="48">
        <f>IF(COUNT($F14:$J14)=0,"",SUM($F14:$J14))</f>
        <v/>
      </c>
      <c r="L14" s="47">
        <f>IFERROR(IF(K14="","",ROUND(K14/$K$11*100,2)),"")</f>
        <v/>
      </c>
      <c r="M14" s="54">
        <f>IFERROR(IF(L14="","",ROUND(L14*$M$11,2)),"")</f>
        <v/>
      </c>
      <c r="N14" s="51" t="n"/>
      <c r="O14" s="46" t="n"/>
      <c r="P14" s="46" t="n"/>
      <c r="Q14" s="354">
        <f>IF(COUNT($N14:$P14)=0,"",SUM($N14:$P14))</f>
        <v/>
      </c>
      <c r="R14" s="47">
        <f>IFERROR(IF(Q14="","",ROUND(Q14/$Q$11*100,2)),"")</f>
        <v/>
      </c>
      <c r="S14" s="54">
        <f>IFERROR(IF(R14="","",ROUND(R14*$S$11,2)),"")</f>
        <v/>
      </c>
      <c r="T14" s="265" t="n"/>
      <c r="U14" s="46" t="n"/>
      <c r="V14" s="268" t="n"/>
      <c r="W14" s="297">
        <f>IF(COUNT($T14:$V14)=0,"",SUM($T14:$V14))</f>
        <v/>
      </c>
      <c r="X14" s="352">
        <f>IFERROR(IF(W14="","",ROUND((($T14/$T$11)*30 + ($U14/$U$11)*30 + ($V14/$V$11)*40),2)),"")</f>
        <v/>
      </c>
      <c r="Y14" s="54">
        <f>IFERROR(IF(X14="","",ROUND(X14*$Y$11,2)),"")</f>
        <v/>
      </c>
      <c r="Z14" s="55">
        <f>IFERROR(M14+S14+Y14,"")</f>
        <v/>
      </c>
      <c r="AA14" s="274">
        <f>IFERROR(VLOOKUP(Z14,'Helper(IMPORTANT!)'!$CQ$1:$CR$41,2,TRUE),"")</f>
        <v/>
      </c>
      <c r="AB14" s="170">
        <f t="array" ref="AB14">IF(AA14="", "", _xlfn.IFS(AA14&gt;=90, "A", AA14&gt;=80, "B", AA14&gt;=75, "C", AA14&gt;=65, "D", AA14&gt;=0, "E"))</f>
        <v/>
      </c>
      <c r="AD14" s="39" t="n"/>
      <c r="AF14" s="451" t="n"/>
      <c r="AG14" s="649" t="n"/>
      <c r="AH14" s="649" t="n"/>
      <c r="AI14" s="649" t="n"/>
    </row>
    <row r="15" ht="18" customHeight="1">
      <c r="A15" s="169" t="n">
        <v>3</v>
      </c>
      <c r="B15" s="442">
        <f>'INPUT DATA'!L13</f>
        <v/>
      </c>
      <c r="C15" s="673" t="n"/>
      <c r="D15" s="673" t="n"/>
      <c r="E15" s="674" t="n"/>
      <c r="F15" s="51" t="n"/>
      <c r="G15" s="46" t="n"/>
      <c r="H15" s="46" t="n"/>
      <c r="I15" s="46" t="n"/>
      <c r="J15" s="46" t="n"/>
      <c r="K15" s="48">
        <f>IF(COUNT($F15:$J15)=0,"",SUM($F15:$J15))</f>
        <v/>
      </c>
      <c r="L15" s="47">
        <f>IFERROR(IF(K15="","",ROUND(K15/$K$11*100,2)),"")</f>
        <v/>
      </c>
      <c r="M15" s="54">
        <f>IFERROR(IF(L15="","",ROUND(L15*$M$11,2)),"")</f>
        <v/>
      </c>
      <c r="N15" s="51" t="n"/>
      <c r="O15" s="46" t="n"/>
      <c r="P15" s="46" t="n"/>
      <c r="Q15" s="48">
        <f>IF(COUNT($N15:$P15)=0,"",SUM($N15:$P15))</f>
        <v/>
      </c>
      <c r="R15" s="47">
        <f>IFERROR(IF(Q15="","",ROUND(Q15/$Q$11*100,2)),"")</f>
        <v/>
      </c>
      <c r="S15" s="54">
        <f>IFERROR(IF(R15="","",ROUND(R15*$S$11,2)),"")</f>
        <v/>
      </c>
      <c r="T15" s="265" t="n"/>
      <c r="U15" s="46" t="n"/>
      <c r="V15" s="268" t="n"/>
      <c r="W15" s="297">
        <f>IF(COUNT($T15:$V15)=0,"",SUM($T15:$V15))</f>
        <v/>
      </c>
      <c r="X15" s="352">
        <f>IFERROR(IF(W15="","",ROUND((($T15/$T$11)*30 + ($U15/$U$11)*30 + ($V15/$V$11)*40),2)),"")</f>
        <v/>
      </c>
      <c r="Y15" s="54">
        <f>IFERROR(IF(X15="","",ROUND(X15*$Y$11,2)),"")</f>
        <v/>
      </c>
      <c r="Z15" s="55">
        <f>IFERROR(M15+S15+Y15,"")</f>
        <v/>
      </c>
      <c r="AA15" s="274">
        <f>IFERROR(VLOOKUP(Z15,'Helper(IMPORTANT!)'!$CQ$1:$CR$41,2,TRUE),"")</f>
        <v/>
      </c>
      <c r="AB15" s="170">
        <f t="array" ref="AB15">IF(AA15="", "", _xlfn.IFS(AA15&gt;=90, "A", AA15&gt;=80, "B", AA15&gt;=75, "C", AA15&gt;=65, "D", AA15&gt;=0, "E"))</f>
        <v/>
      </c>
      <c r="AD15" s="39" t="n"/>
      <c r="AF15" s="451" t="n"/>
      <c r="AG15" s="649" t="n"/>
      <c r="AH15" s="649" t="n"/>
      <c r="AI15" s="649" t="n"/>
    </row>
    <row r="16" ht="18" customHeight="1">
      <c r="A16" s="169" t="n">
        <v>4</v>
      </c>
      <c r="B16" s="442">
        <f>'INPUT DATA'!L14</f>
        <v/>
      </c>
      <c r="C16" s="673" t="n"/>
      <c r="D16" s="673" t="n"/>
      <c r="E16" s="674" t="n"/>
      <c r="F16" s="51" t="n"/>
      <c r="G16" s="46" t="n"/>
      <c r="H16" s="46" t="n"/>
      <c r="I16" s="49" t="n"/>
      <c r="J16" s="49" t="n"/>
      <c r="K16" s="48">
        <f>IF(COUNT($F16:$J16)=0,"",SUM($F16:$J16))</f>
        <v/>
      </c>
      <c r="L16" s="47">
        <f>IFERROR(IF(K16="","",ROUND(K16/$K$11*100,2)),"")</f>
        <v/>
      </c>
      <c r="M16" s="54">
        <f>IFERROR(IF(L16="","",ROUND(L16*$M$11,2)),"")</f>
        <v/>
      </c>
      <c r="N16" s="51" t="n"/>
      <c r="O16" s="46" t="n"/>
      <c r="P16" s="46" t="n"/>
      <c r="Q16" s="48">
        <f>IF(COUNT($N16:$P16)=0,"",SUM($N16:$P16))</f>
        <v/>
      </c>
      <c r="R16" s="47">
        <f>IFERROR(IF(Q16="","",ROUND(Q16/$Q$11*100,2)),"")</f>
        <v/>
      </c>
      <c r="S16" s="54">
        <f>IFERROR(IF(R16="","",ROUND(R16*$S$11,2)),"")</f>
        <v/>
      </c>
      <c r="T16" s="51" t="n"/>
      <c r="U16" s="46" t="n"/>
      <c r="V16" s="46" t="n"/>
      <c r="W16" s="297">
        <f>IF(COUNT($T16:$V16)=0,"",SUM($T16:$V16))</f>
        <v/>
      </c>
      <c r="X16" s="352">
        <f>IFERROR(IF(W16="","",ROUND((($T16/$T$11)*30 + ($U16/$U$11)*30 + ($V16/$V$11)*40),2)),"")</f>
        <v/>
      </c>
      <c r="Y16" s="54">
        <f>IFERROR(IF(X16="","",ROUND(X16*$Y$11,2)),"")</f>
        <v/>
      </c>
      <c r="Z16" s="55">
        <f>IFERROR(M16+S16+Y16,"")</f>
        <v/>
      </c>
      <c r="AA16" s="274">
        <f>IFERROR(VLOOKUP(Z16,'Helper(IMPORTANT!)'!$CQ$1:$CR$41,2,TRUE),"")</f>
        <v/>
      </c>
      <c r="AB16" s="170">
        <f t="array" ref="AB16">IF(AA16="", "", _xlfn.IFS(AA16&gt;=90, "A", AA16&gt;=80, "B", AA16&gt;=75, "C", AA16&gt;=65, "D", AA16&gt;=0, "E"))</f>
        <v/>
      </c>
      <c r="AD16" s="39" t="n"/>
      <c r="AF16" s="451" t="n"/>
      <c r="AG16" s="649" t="n"/>
      <c r="AH16" s="649" t="n"/>
      <c r="AI16" s="649" t="n"/>
    </row>
    <row r="17" ht="18" customHeight="1">
      <c r="A17" s="169" t="n">
        <v>5</v>
      </c>
      <c r="B17" s="442">
        <f>'INPUT DATA'!L15</f>
        <v/>
      </c>
      <c r="C17" s="673" t="n"/>
      <c r="D17" s="673" t="n"/>
      <c r="E17" s="674" t="n"/>
      <c r="F17" s="52" t="n"/>
      <c r="G17" s="49" t="n"/>
      <c r="H17" s="49" t="n"/>
      <c r="I17" s="49" t="n"/>
      <c r="J17" s="49" t="n"/>
      <c r="K17" s="48">
        <f>IF(COUNT($F17:$J17)=0,"",SUM($F17:$J17))</f>
        <v/>
      </c>
      <c r="L17" s="47">
        <f>IFERROR(IF(K17="","",ROUND(K17/$K$11*100,2)),"")</f>
        <v/>
      </c>
      <c r="M17" s="54">
        <f>IFERROR(IF(L17="","",ROUND(L17*$M$11,2)),"")</f>
        <v/>
      </c>
      <c r="N17" s="52" t="n"/>
      <c r="O17" s="49" t="n"/>
      <c r="P17" s="49" t="n"/>
      <c r="Q17" s="48">
        <f>IF(COUNT($N17:$P17)=0,"",SUM($N17:$P17))</f>
        <v/>
      </c>
      <c r="R17" s="47">
        <f>IFERROR(IF(Q17="","",ROUND(Q17/$Q$11*100,2)),"")</f>
        <v/>
      </c>
      <c r="S17" s="54">
        <f>IFERROR(IF(R17="","",ROUND(R17*$S$11,2)),"")</f>
        <v/>
      </c>
      <c r="T17" s="265" t="n"/>
      <c r="U17" s="46" t="n"/>
      <c r="V17" s="268" t="n"/>
      <c r="W17" s="297">
        <f>IF(COUNT($T17:$V17)=0,"",SUM($T17:$V17))</f>
        <v/>
      </c>
      <c r="X17" s="352">
        <f>IFERROR(IF(W17="","",ROUND((($T17/$T$11)*30 + ($U17/$U$11)*30 + ($V17/$V$11)*40),2)),"")</f>
        <v/>
      </c>
      <c r="Y17" s="54">
        <f>IFERROR(IF(X17="","",ROUND(X17*$Y$11,2)),"")</f>
        <v/>
      </c>
      <c r="Z17" s="55">
        <f>IFERROR(M17+S17+Y17,"")</f>
        <v/>
      </c>
      <c r="AA17" s="274">
        <f>IFERROR(VLOOKUP(Z17,'Helper(IMPORTANT!)'!$CQ$1:$CR$41,2,TRUE),"")</f>
        <v/>
      </c>
      <c r="AB17" s="170">
        <f t="array" ref="AB17">IF(AA17="", "", _xlfn.IFS(AA17&gt;=90, "A", AA17&gt;=80, "B", AA17&gt;=75, "C", AA17&gt;=65, "D", AA17&gt;=0, "E"))</f>
        <v/>
      </c>
      <c r="AD17" s="39" t="n"/>
      <c r="AF17" s="451" t="n"/>
      <c r="AG17" s="649" t="n"/>
      <c r="AH17" s="649" t="n"/>
      <c r="AI17" s="649" t="n"/>
    </row>
    <row r="18" ht="18" customHeight="1">
      <c r="A18" s="169" t="n">
        <v>6</v>
      </c>
      <c r="B18" s="442">
        <f>'INPUT DATA'!L16</f>
        <v/>
      </c>
      <c r="C18" s="673" t="n"/>
      <c r="D18" s="673" t="n"/>
      <c r="E18" s="674" t="n"/>
      <c r="F18" s="52" t="n"/>
      <c r="G18" s="49" t="n"/>
      <c r="H18" s="49" t="n"/>
      <c r="I18" s="49" t="n"/>
      <c r="J18" s="49" t="n"/>
      <c r="K18" s="48">
        <f>IF(COUNT($F18:$J18)=0,"",SUM($F18:$J18))</f>
        <v/>
      </c>
      <c r="L18" s="47">
        <f>IFERROR(IF(K18="","",ROUND(K18/$K$11*100,2)),"")</f>
        <v/>
      </c>
      <c r="M18" s="54">
        <f>IFERROR(IF(L18="","",ROUND(L18*$M$11,2)),"")</f>
        <v/>
      </c>
      <c r="N18" s="52" t="n"/>
      <c r="O18" s="49" t="n"/>
      <c r="P18" s="49" t="n"/>
      <c r="Q18" s="48">
        <f>IF(COUNT($N18:$P18)=0,"",SUM($N18:$P18))</f>
        <v/>
      </c>
      <c r="R18" s="47">
        <f>IFERROR(IF(Q18="","",ROUND(Q18/$Q$11*100,2)),"")</f>
        <v/>
      </c>
      <c r="S18" s="54">
        <f>IFERROR(IF(R18="","",ROUND(R18*$S$11,2)),"")</f>
        <v/>
      </c>
      <c r="T18" s="265" t="n"/>
      <c r="U18" s="46" t="n"/>
      <c r="V18" s="268" t="n"/>
      <c r="W18" s="297">
        <f>IF(COUNT($T18:$V18)=0,"",SUM($T18:$V18))</f>
        <v/>
      </c>
      <c r="X18" s="352">
        <f>IFERROR(IF(W18="","",ROUND((($T18/$T$11)*30 + ($U18/$U$11)*30 + ($V18/$V$11)*40),2)),"")</f>
        <v/>
      </c>
      <c r="Y18" s="54">
        <f>IFERROR(IF(X18="","",ROUND(X18*$Y$11,2)),"")</f>
        <v/>
      </c>
      <c r="Z18" s="55">
        <f>IFERROR(M18+S18+Y18,"")</f>
        <v/>
      </c>
      <c r="AA18" s="274">
        <f>IFERROR(VLOOKUP(Z18,'Helper(IMPORTANT!)'!$CQ$1:$CR$41,2,TRUE),"")</f>
        <v/>
      </c>
      <c r="AB18" s="170">
        <f t="array" ref="AB18">IF(AA18="", "", _xlfn.IFS(AA18&gt;=90, "A", AA18&gt;=80, "B", AA18&gt;=75, "C", AA18&gt;=65, "D", AA18&gt;=0, "E"))</f>
        <v/>
      </c>
      <c r="AD18" s="39" t="n"/>
      <c r="AF18" s="451" t="n"/>
      <c r="AG18" s="649" t="n"/>
      <c r="AH18" s="649" t="n"/>
      <c r="AI18" s="649" t="n"/>
    </row>
    <row r="19" ht="18" customHeight="1">
      <c r="A19" s="169" t="n">
        <v>7</v>
      </c>
      <c r="B19" s="442">
        <f>'INPUT DATA'!L17</f>
        <v/>
      </c>
      <c r="C19" s="673" t="n"/>
      <c r="D19" s="673" t="n"/>
      <c r="E19" s="674" t="n"/>
      <c r="F19" s="52" t="n"/>
      <c r="G19" s="49" t="n"/>
      <c r="H19" s="49" t="n"/>
      <c r="I19" s="49" t="n"/>
      <c r="J19" s="49" t="n"/>
      <c r="K19" s="48">
        <f>IF(COUNT($F19:$J19)=0,"",SUM($F19:$J19))</f>
        <v/>
      </c>
      <c r="L19" s="47">
        <f>IFERROR(IF(K19="","",ROUND(K19/$K$11*100,2)),"")</f>
        <v/>
      </c>
      <c r="M19" s="54">
        <f>IFERROR(IF(L19="","",ROUND(L19*$M$11,2)),"")</f>
        <v/>
      </c>
      <c r="N19" s="52" t="n"/>
      <c r="O19" s="49" t="n"/>
      <c r="P19" s="49" t="n"/>
      <c r="Q19" s="48">
        <f>IF(COUNT($N19:$P19)=0,"",SUM($N19:$P19))</f>
        <v/>
      </c>
      <c r="R19" s="47">
        <f>IFERROR(IF(Q19="","",ROUND(Q19/$Q$11*100,2)),"")</f>
        <v/>
      </c>
      <c r="S19" s="54">
        <f>IFERROR(IF(R19="","",ROUND(R19*$S$11,2)),"")</f>
        <v/>
      </c>
      <c r="T19" s="265" t="n"/>
      <c r="U19" s="46" t="n"/>
      <c r="V19" s="268" t="n"/>
      <c r="W19" s="297">
        <f>IF(COUNT($T19:$V19)=0,"",SUM($T19:$V19))</f>
        <v/>
      </c>
      <c r="X19" s="352">
        <f>IFERROR(IF(W19="","",ROUND((($T19/$T$11)*30 + ($U19/$U$11)*30 + ($V19/$V$11)*40),2)),"")</f>
        <v/>
      </c>
      <c r="Y19" s="54">
        <f>IFERROR(IF(X19="","",ROUND(X19*$Y$11,2)),"")</f>
        <v/>
      </c>
      <c r="Z19" s="55">
        <f>IFERROR(M19+S19+Y19,"")</f>
        <v/>
      </c>
      <c r="AA19" s="274">
        <f>IFERROR(VLOOKUP(Z19,'Helper(IMPORTANT!)'!$CQ$1:$CR$41,2,TRUE),"")</f>
        <v/>
      </c>
      <c r="AB19" s="170">
        <f t="array" ref="AB19">IF(AA19="", "", _xlfn.IFS(AA19&gt;=90, "A", AA19&gt;=80, "B", AA19&gt;=75, "C", AA19&gt;=65, "D", AA19&gt;=0, "E"))</f>
        <v/>
      </c>
      <c r="AD19" s="39" t="n"/>
      <c r="AF19" s="451" t="n"/>
      <c r="AG19" s="649" t="n"/>
      <c r="AH19" s="649" t="n"/>
      <c r="AI19" s="649" t="n"/>
    </row>
    <row r="20" ht="18" customHeight="1">
      <c r="A20" s="169" t="n">
        <v>8</v>
      </c>
      <c r="B20" s="442">
        <f>'INPUT DATA'!L18</f>
        <v/>
      </c>
      <c r="C20" s="673" t="n"/>
      <c r="D20" s="673" t="n"/>
      <c r="E20" s="674" t="n"/>
      <c r="F20" s="52" t="n"/>
      <c r="G20" s="49" t="n"/>
      <c r="H20" s="49" t="n"/>
      <c r="I20" s="49" t="n"/>
      <c r="J20" s="49" t="n"/>
      <c r="K20" s="48">
        <f>IF(COUNT($F20:$J20)=0,"",SUM($F20:$J20))</f>
        <v/>
      </c>
      <c r="L20" s="47">
        <f>IFERROR(IF(K20="","",ROUND(K20/$K$11*100,2)),"")</f>
        <v/>
      </c>
      <c r="M20" s="54">
        <f>IFERROR(IF(L20="","",ROUND(L20*$M$11,2)),"")</f>
        <v/>
      </c>
      <c r="N20" s="52" t="n"/>
      <c r="O20" s="49" t="n"/>
      <c r="P20" s="49" t="n"/>
      <c r="Q20" s="48">
        <f>IF(COUNT($N20:$P20)=0,"",SUM($N20:$P20))</f>
        <v/>
      </c>
      <c r="R20" s="47">
        <f>IFERROR(IF(Q20="","",ROUND(Q20/$Q$11*100,2)),"")</f>
        <v/>
      </c>
      <c r="S20" s="54">
        <f>IFERROR(IF(R20="","",ROUND(R20*$S$11,2)),"")</f>
        <v/>
      </c>
      <c r="T20" s="265" t="n"/>
      <c r="U20" s="46" t="n"/>
      <c r="V20" s="268" t="n"/>
      <c r="W20" s="297">
        <f>IF(COUNT($T20:$V20)=0,"",SUM($T20:$V20))</f>
        <v/>
      </c>
      <c r="X20" s="352">
        <f>IFERROR(IF(W20="","",ROUND((($T20/$T$11)*30 + ($U20/$U$11)*30 + ($V20/$V$11)*40),2)),"")</f>
        <v/>
      </c>
      <c r="Y20" s="54">
        <f>IFERROR(IF(X20="","",ROUND(X20*$Y$11,2)),"")</f>
        <v/>
      </c>
      <c r="Z20" s="55">
        <f>IFERROR(M20+S20+Y20,"")</f>
        <v/>
      </c>
      <c r="AA20" s="274">
        <f>IFERROR(VLOOKUP(Z20,'Helper(IMPORTANT!)'!$CQ$1:$CR$41,2,TRUE),"")</f>
        <v/>
      </c>
      <c r="AB20" s="170">
        <f t="array" ref="AB20">IF(AA20="", "", _xlfn.IFS(AA20&gt;=90, "A", AA20&gt;=80, "B", AA20&gt;=75, "C", AA20&gt;=65, "D", AA20&gt;=0, "E"))</f>
        <v/>
      </c>
      <c r="AD20" s="39" t="n"/>
      <c r="AF20" s="451" t="n"/>
      <c r="AG20" s="649" t="n"/>
      <c r="AH20" s="649" t="n"/>
      <c r="AI20" s="649" t="n"/>
    </row>
    <row r="21" ht="18" customHeight="1">
      <c r="A21" s="169" t="n">
        <v>9</v>
      </c>
      <c r="B21" s="442">
        <f>'INPUT DATA'!L19</f>
        <v/>
      </c>
      <c r="C21" s="673" t="n"/>
      <c r="D21" s="673" t="n"/>
      <c r="E21" s="674" t="n"/>
      <c r="F21" s="52" t="n"/>
      <c r="G21" s="49" t="n"/>
      <c r="H21" s="49" t="n"/>
      <c r="I21" s="49" t="n"/>
      <c r="J21" s="49" t="n"/>
      <c r="K21" s="48">
        <f>IF(COUNT($F21:$J21)=0,"",SUM($F21:$J21))</f>
        <v/>
      </c>
      <c r="L21" s="47">
        <f>IFERROR(IF(K21="","",ROUND(K21/$K$11*100,2)),"")</f>
        <v/>
      </c>
      <c r="M21" s="54">
        <f>IFERROR(IF(L21="","",ROUND(L21*$M$11,2)),"")</f>
        <v/>
      </c>
      <c r="N21" s="52" t="n"/>
      <c r="O21" s="49" t="n"/>
      <c r="P21" s="49" t="n"/>
      <c r="Q21" s="48">
        <f>IF(COUNT($N21:$P21)=0,"",SUM($N21:$P21))</f>
        <v/>
      </c>
      <c r="R21" s="47">
        <f>IFERROR(IF(Q21="","",ROUND(Q21/$Q$11*100,2)),"")</f>
        <v/>
      </c>
      <c r="S21" s="54">
        <f>IFERROR(IF(R21="","",ROUND(R21*$S$11,2)),"")</f>
        <v/>
      </c>
      <c r="T21" s="265" t="n"/>
      <c r="U21" s="46" t="n"/>
      <c r="V21" s="268" t="n"/>
      <c r="W21" s="297">
        <f>IF(COUNT($T21:$V21)=0,"",SUM($T21:$V21))</f>
        <v/>
      </c>
      <c r="X21" s="352">
        <f>IFERROR(IF(W21="","",ROUND((($T21/$T$11)*30 + ($U21/$U$11)*30 + ($V21/$V$11)*40),2)),"")</f>
        <v/>
      </c>
      <c r="Y21" s="54">
        <f>IFERROR(IF(X21="","",ROUND(X21*$Y$11,2)),"")</f>
        <v/>
      </c>
      <c r="Z21" s="55">
        <f>IFERROR(M21+S21+Y21,"")</f>
        <v/>
      </c>
      <c r="AA21" s="274">
        <f>IFERROR(VLOOKUP(Z21,'Helper(IMPORTANT!)'!$CQ$1:$CR$41,2,TRUE),"")</f>
        <v/>
      </c>
      <c r="AB21" s="170">
        <f t="array" ref="AB21">IF(AA21="", "", _xlfn.IFS(AA21&gt;=90, "A", AA21&gt;=80, "B", AA21&gt;=75, "C", AA21&gt;=65, "D", AA21&gt;=0, "E"))</f>
        <v/>
      </c>
      <c r="AD21" s="39" t="n"/>
      <c r="AF21" s="451" t="n"/>
      <c r="AG21" s="649" t="n"/>
      <c r="AH21" s="649" t="n"/>
      <c r="AI21" s="649" t="n"/>
    </row>
    <row r="22" ht="18" customHeight="1">
      <c r="A22" s="169" t="n">
        <v>10</v>
      </c>
      <c r="B22" s="442">
        <f>'INPUT DATA'!L20</f>
        <v/>
      </c>
      <c r="C22" s="673" t="n"/>
      <c r="D22" s="673" t="n"/>
      <c r="E22" s="674" t="n"/>
      <c r="F22" s="52" t="n"/>
      <c r="G22" s="49" t="n"/>
      <c r="H22" s="49" t="n"/>
      <c r="I22" s="49" t="n"/>
      <c r="J22" s="49" t="n"/>
      <c r="K22" s="48">
        <f>IF(COUNT($F22:$J22)=0,"",SUM($F22:$J22))</f>
        <v/>
      </c>
      <c r="L22" s="47">
        <f>IFERROR(IF(K22="","",ROUND(K22/$K$11*100,2)),"")</f>
        <v/>
      </c>
      <c r="M22" s="54">
        <f>IFERROR(IF(L22="","",ROUND(L22*$M$11,2)),"")</f>
        <v/>
      </c>
      <c r="N22" s="52" t="n"/>
      <c r="O22" s="49" t="n"/>
      <c r="P22" s="49" t="n"/>
      <c r="Q22" s="48">
        <f>IF(COUNT($N22:$P22)=0,"",SUM($N22:$P22))</f>
        <v/>
      </c>
      <c r="R22" s="47">
        <f>IFERROR(IF(Q22="","",ROUND(Q22/$Q$11*100,2)),"")</f>
        <v/>
      </c>
      <c r="S22" s="54">
        <f>IFERROR(IF(R22="","",ROUND(R22*$S$11,2)),"")</f>
        <v/>
      </c>
      <c r="T22" s="265" t="n"/>
      <c r="U22" s="46" t="n"/>
      <c r="V22" s="268" t="n"/>
      <c r="W22" s="297">
        <f>IF(COUNT($T22:$V22)=0,"",SUM($T22:$V22))</f>
        <v/>
      </c>
      <c r="X22" s="352">
        <f>IFERROR(IF(W22="","",ROUND((($T22/$T$11)*30 + ($U22/$U$11)*30 + ($V22/$V$11)*40),2)),"")</f>
        <v/>
      </c>
      <c r="Y22" s="54">
        <f>IFERROR(IF(X22="","",ROUND(X22*$Y$11,2)),"")</f>
        <v/>
      </c>
      <c r="Z22" s="55">
        <f>IFERROR(M22+S22+Y22,"")</f>
        <v/>
      </c>
      <c r="AA22" s="274">
        <f>IFERROR(VLOOKUP(Z22,'Helper(IMPORTANT!)'!$CQ$1:$CR$41,2,TRUE),"")</f>
        <v/>
      </c>
      <c r="AB22" s="170">
        <f t="array" ref="AB22">IF(AA22="", "", _xlfn.IFS(AA22&gt;=90, "A", AA22&gt;=80, "B", AA22&gt;=75, "C", AA22&gt;=65, "D", AA22&gt;=0, "E"))</f>
        <v/>
      </c>
      <c r="AD22" s="39" t="n"/>
      <c r="AF22" s="451" t="n"/>
      <c r="AG22" s="649" t="n"/>
      <c r="AH22" s="649" t="n"/>
      <c r="AI22" s="649" t="n"/>
    </row>
    <row r="23" ht="18" customHeight="1">
      <c r="A23" s="169" t="n">
        <v>11</v>
      </c>
      <c r="B23" s="442">
        <f>'INPUT DATA'!L21</f>
        <v/>
      </c>
      <c r="C23" s="673" t="n"/>
      <c r="D23" s="673" t="n"/>
      <c r="E23" s="674" t="n"/>
      <c r="F23" s="52" t="n"/>
      <c r="G23" s="49" t="n"/>
      <c r="H23" s="49" t="n"/>
      <c r="I23" s="49" t="n"/>
      <c r="J23" s="49" t="n"/>
      <c r="K23" s="48">
        <f>IF(COUNT($F23:$J23)=0,"",SUM($F23:$J23))</f>
        <v/>
      </c>
      <c r="L23" s="47">
        <f>IFERROR(IF(K23="","",ROUND(K23/$K$11*100,2)),"")</f>
        <v/>
      </c>
      <c r="M23" s="54">
        <f>IFERROR(IF(L23="","",ROUND(L23*$M$11,2)),"")</f>
        <v/>
      </c>
      <c r="N23" s="52" t="n"/>
      <c r="O23" s="49" t="n"/>
      <c r="P23" s="49" t="n"/>
      <c r="Q23" s="48">
        <f>IF(COUNT($N23:$P23)=0,"",SUM($N23:$P23))</f>
        <v/>
      </c>
      <c r="R23" s="47">
        <f>IFERROR(IF(Q23="","",ROUND(Q23/$Q$11*100,2)),"")</f>
        <v/>
      </c>
      <c r="S23" s="54">
        <f>IFERROR(IF(R23="","",ROUND(R23*$S$11,2)),"")</f>
        <v/>
      </c>
      <c r="T23" s="265" t="n"/>
      <c r="U23" s="46" t="n"/>
      <c r="V23" s="268" t="n"/>
      <c r="W23" s="297">
        <f>IF(COUNT($T23:$V23)=0,"",SUM($T23:$V23))</f>
        <v/>
      </c>
      <c r="X23" s="352">
        <f>IFERROR(IF(W23="","",ROUND((($T23/$T$11)*30 + ($U23/$U$11)*30 + ($V23/$V$11)*40),2)),"")</f>
        <v/>
      </c>
      <c r="Y23" s="54">
        <f>IFERROR(IF(X23="","",ROUND(X23*$Y$11,2)),"")</f>
        <v/>
      </c>
      <c r="Z23" s="55">
        <f>IFERROR(M23+S23+Y23,"")</f>
        <v/>
      </c>
      <c r="AA23" s="274">
        <f>IFERROR(VLOOKUP(Z23,'Helper(IMPORTANT!)'!$CQ$1:$CR$41,2,TRUE),"")</f>
        <v/>
      </c>
      <c r="AB23" s="170">
        <f t="array" ref="AB23">IF(AA23="", "", _xlfn.IFS(AA23&gt;=90, "A", AA23&gt;=80, "B", AA23&gt;=75, "C", AA23&gt;=65, "D", AA23&gt;=0, "E"))</f>
        <v/>
      </c>
      <c r="AD23" s="39" t="n"/>
      <c r="AF23" s="450" t="n"/>
      <c r="AG23" s="649" t="n"/>
      <c r="AH23" s="649" t="n"/>
      <c r="AI23" s="649" t="n"/>
    </row>
    <row r="24" ht="18" customHeight="1">
      <c r="A24" s="169" t="n">
        <v>12</v>
      </c>
      <c r="B24" s="442">
        <f>'INPUT DATA'!L22</f>
        <v/>
      </c>
      <c r="C24" s="673" t="n"/>
      <c r="D24" s="673" t="n"/>
      <c r="E24" s="674" t="n"/>
      <c r="F24" s="52" t="n"/>
      <c r="G24" s="49" t="n"/>
      <c r="H24" s="49" t="n"/>
      <c r="I24" s="49" t="n"/>
      <c r="J24" s="49" t="n"/>
      <c r="K24" s="48">
        <f>IF(COUNT($F24:$J24)=0,"",SUM($F24:$J24))</f>
        <v/>
      </c>
      <c r="L24" s="47">
        <f>IFERROR(IF(K24="","",ROUND(K24/$K$11*100,2)),"")</f>
        <v/>
      </c>
      <c r="M24" s="54">
        <f>IFERROR(IF(L24="","",ROUND(L24*$M$11,2)),"")</f>
        <v/>
      </c>
      <c r="N24" s="52" t="n"/>
      <c r="O24" s="49" t="n"/>
      <c r="P24" s="49" t="n"/>
      <c r="Q24" s="48">
        <f>IF(COUNT($N24:$P24)=0,"",SUM($N24:$P24))</f>
        <v/>
      </c>
      <c r="R24" s="47">
        <f>IFERROR(IF(Q24="","",ROUND(Q24/$Q$11*100,2)),"")</f>
        <v/>
      </c>
      <c r="S24" s="54">
        <f>IFERROR(IF(R24="","",ROUND(R24*$S$11,2)),"")</f>
        <v/>
      </c>
      <c r="T24" s="265" t="n"/>
      <c r="U24" s="46" t="n"/>
      <c r="V24" s="268" t="n"/>
      <c r="W24" s="297">
        <f>IF(COUNT($T24:$V24)=0,"",SUM($T24:$V24))</f>
        <v/>
      </c>
      <c r="X24" s="352">
        <f>IFERROR(IF(W24="","",ROUND((($T24/$T$11)*30 + ($U24/$U$11)*30 + ($V24/$V$11)*40),2)),"")</f>
        <v/>
      </c>
      <c r="Y24" s="54">
        <f>IFERROR(IF(X24="","",ROUND(X24*$Y$11,2)),"")</f>
        <v/>
      </c>
      <c r="Z24" s="55">
        <f>IFERROR(M24+S24+Y24,"")</f>
        <v/>
      </c>
      <c r="AA24" s="274">
        <f>IFERROR(VLOOKUP(Z24,'Helper(IMPORTANT!)'!$CQ$1:$CR$41,2,TRUE),"")</f>
        <v/>
      </c>
      <c r="AB24" s="170">
        <f t="array" ref="AB24">IF(AA24="", "", _xlfn.IFS(AA24&gt;=90, "A", AA24&gt;=80, "B", AA24&gt;=75, "C", AA24&gt;=65, "D", AA24&gt;=0, "E"))</f>
        <v/>
      </c>
      <c r="AD24" s="39" t="n"/>
      <c r="AF24" s="449" t="n"/>
      <c r="AG24" s="649" t="n"/>
      <c r="AH24" s="649" t="n"/>
      <c r="AI24" s="649" t="n"/>
    </row>
    <row r="25" ht="18" customHeight="1">
      <c r="A25" s="169" t="n">
        <v>13</v>
      </c>
      <c r="B25" s="442">
        <f>'INPUT DATA'!L23</f>
        <v/>
      </c>
      <c r="C25" s="673" t="n"/>
      <c r="D25" s="673" t="n"/>
      <c r="E25" s="674" t="n"/>
      <c r="F25" s="52" t="n"/>
      <c r="G25" s="49" t="n"/>
      <c r="H25" s="49" t="n"/>
      <c r="I25" s="49" t="n"/>
      <c r="J25" s="49" t="n"/>
      <c r="K25" s="48">
        <f>IF(COUNT($F25:$J25)=0,"",SUM($F25:$J25))</f>
        <v/>
      </c>
      <c r="L25" s="47">
        <f>IFERROR(IF(K25="","",ROUND(K25/$K$11*100,2)),"")</f>
        <v/>
      </c>
      <c r="M25" s="54">
        <f>IFERROR(IF(L25="","",ROUND(L25*$M$11,2)),"")</f>
        <v/>
      </c>
      <c r="N25" s="52" t="n"/>
      <c r="O25" s="49" t="n"/>
      <c r="P25" s="49" t="n"/>
      <c r="Q25" s="48">
        <f>IF(COUNT($N25:$P25)=0,"",SUM($N25:$P25))</f>
        <v/>
      </c>
      <c r="R25" s="47">
        <f>IFERROR(IF(Q25="","",ROUND(Q25/$Q$11*100,2)),"")</f>
        <v/>
      </c>
      <c r="S25" s="54">
        <f>IFERROR(IF(R25="","",ROUND(R25*$S$11,2)),"")</f>
        <v/>
      </c>
      <c r="T25" s="265" t="n"/>
      <c r="U25" s="46" t="n"/>
      <c r="V25" s="268" t="n"/>
      <c r="W25" s="297">
        <f>IF(COUNT($T25:$V25)=0,"",SUM($T25:$V25))</f>
        <v/>
      </c>
      <c r="X25" s="352">
        <f>IFERROR(IF(W25="","",ROUND((($T25/$T$11)*30 + ($U25/$U$11)*30 + ($V25/$V$11)*40),2)),"")</f>
        <v/>
      </c>
      <c r="Y25" s="54">
        <f>IFERROR(IF(X25="","",ROUND(X25*$Y$11,2)),"")</f>
        <v/>
      </c>
      <c r="Z25" s="55">
        <f>IFERROR(M25+S25+Y25,"")</f>
        <v/>
      </c>
      <c r="AA25" s="274">
        <f>IFERROR(VLOOKUP(Z25,'Helper(IMPORTANT!)'!$CQ$1:$CR$41,2,TRUE),"")</f>
        <v/>
      </c>
      <c r="AB25" s="170">
        <f t="array" ref="AB25">IF(AA25="", "", _xlfn.IFS(AA25&gt;=90, "A", AA25&gt;=80, "B", AA25&gt;=75, "C", AA25&gt;=65, "D", AA25&gt;=0, "E"))</f>
        <v/>
      </c>
      <c r="AD25" s="39" t="n"/>
      <c r="AF25" s="449" t="n"/>
      <c r="AG25" s="649" t="n"/>
      <c r="AH25" s="649" t="n"/>
      <c r="AI25" s="649" t="n"/>
    </row>
    <row r="26" ht="18" customHeight="1">
      <c r="A26" s="169" t="n">
        <v>14</v>
      </c>
      <c r="B26" s="442">
        <f>'INPUT DATA'!L24</f>
        <v/>
      </c>
      <c r="C26" s="673" t="n"/>
      <c r="D26" s="673" t="n"/>
      <c r="E26" s="674" t="n"/>
      <c r="F26" s="52" t="n"/>
      <c r="G26" s="49" t="n"/>
      <c r="H26" s="49" t="n"/>
      <c r="I26" s="49" t="n"/>
      <c r="J26" s="49" t="n"/>
      <c r="K26" s="48">
        <f>IF(COUNT($F26:$J26)=0,"",SUM($F26:$J26))</f>
        <v/>
      </c>
      <c r="L26" s="47">
        <f>IFERROR(IF(K26="","",ROUND(K26/$K$11*100,2)),"")</f>
        <v/>
      </c>
      <c r="M26" s="54">
        <f>IFERROR(IF(L26="","",ROUND(L26*$M$11,2)),"")</f>
        <v/>
      </c>
      <c r="N26" s="52" t="n"/>
      <c r="O26" s="49" t="n"/>
      <c r="P26" s="49" t="n"/>
      <c r="Q26" s="48">
        <f>IF(COUNT($N26:$P26)=0,"",SUM($N26:$P26))</f>
        <v/>
      </c>
      <c r="R26" s="47">
        <f>IFERROR(IF(Q26="","",ROUND(Q26/$Q$11*100,2)),"")</f>
        <v/>
      </c>
      <c r="S26" s="54">
        <f>IFERROR(IF(R26="","",ROUND(R26*$S$11,2)),"")</f>
        <v/>
      </c>
      <c r="T26" s="265" t="n"/>
      <c r="U26" s="46" t="n"/>
      <c r="V26" s="268" t="n"/>
      <c r="W26" s="297">
        <f>IF(COUNT($T26:$V26)=0,"",SUM($T26:$V26))</f>
        <v/>
      </c>
      <c r="X26" s="352">
        <f>IFERROR(IF(W26="","",ROUND((($T26/$T$11)*30 + ($U26/$U$11)*30 + ($V26/$V$11)*40),2)),"")</f>
        <v/>
      </c>
      <c r="Y26" s="54">
        <f>IFERROR(IF(X26="","",ROUND(X26*$Y$11,2)),"")</f>
        <v/>
      </c>
      <c r="Z26" s="55">
        <f>IFERROR(M26+S26+Y26,"")</f>
        <v/>
      </c>
      <c r="AA26" s="274">
        <f>IFERROR(VLOOKUP(Z26,'Helper(IMPORTANT!)'!$CQ$1:$CR$41,2,TRUE),"")</f>
        <v/>
      </c>
      <c r="AB26" s="170">
        <f t="array" ref="AB26">IF(AA26="", "", _xlfn.IFS(AA26&gt;=90, "A", AA26&gt;=80, "B", AA26&gt;=75, "C", AA26&gt;=65, "D", AA26&gt;=0, "E"))</f>
        <v/>
      </c>
      <c r="AD26" s="39" t="n"/>
      <c r="AF26" s="449" t="n"/>
      <c r="AG26" s="649" t="n"/>
      <c r="AH26" s="649" t="n"/>
      <c r="AI26" s="649" t="n"/>
    </row>
    <row r="27" ht="18" customHeight="1">
      <c r="A27" s="169" t="n">
        <v>15</v>
      </c>
      <c r="B27" s="442">
        <f>'INPUT DATA'!L25</f>
        <v/>
      </c>
      <c r="C27" s="673" t="n"/>
      <c r="D27" s="673" t="n"/>
      <c r="E27" s="674" t="n"/>
      <c r="F27" s="52" t="n"/>
      <c r="G27" s="49" t="n"/>
      <c r="H27" s="49" t="n"/>
      <c r="I27" s="49" t="n"/>
      <c r="J27" s="49" t="n"/>
      <c r="K27" s="48">
        <f>IF(COUNT($F27:$J27)=0,"",SUM($F27:$J27))</f>
        <v/>
      </c>
      <c r="L27" s="47">
        <f>IFERROR(IF(K27="","",ROUND(K27/$K$11*100,2)),"")</f>
        <v/>
      </c>
      <c r="M27" s="54">
        <f>IFERROR(IF(L27="","",ROUND(L27*$M$11,2)),"")</f>
        <v/>
      </c>
      <c r="N27" s="52" t="n"/>
      <c r="O27" s="49" t="n"/>
      <c r="P27" s="49" t="n"/>
      <c r="Q27" s="48">
        <f>IF(COUNT($N27:$P27)=0,"",SUM($N27:$P27))</f>
        <v/>
      </c>
      <c r="R27" s="47">
        <f>IFERROR(IF(Q27="","",ROUND(Q27/$Q$11*100,2)),"")</f>
        <v/>
      </c>
      <c r="S27" s="54">
        <f>IFERROR(IF(R27="","",ROUND(R27*$S$11,2)),"")</f>
        <v/>
      </c>
      <c r="T27" s="265" t="n"/>
      <c r="U27" s="46" t="n"/>
      <c r="V27" s="268" t="n"/>
      <c r="W27" s="297">
        <f>IF(COUNT($T27:$V27)=0,"",SUM($T27:$V27))</f>
        <v/>
      </c>
      <c r="X27" s="352">
        <f>IFERROR(IF(W27="","",ROUND((($T27/$T$11)*30 + ($U27/$U$11)*30 + ($V27/$V$11)*40),2)),"")</f>
        <v/>
      </c>
      <c r="Y27" s="54">
        <f>IFERROR(IF(X27="","",ROUND(X27*$Y$11,2)),"")</f>
        <v/>
      </c>
      <c r="Z27" s="55">
        <f>IFERROR(M27+S27+Y27,"")</f>
        <v/>
      </c>
      <c r="AA27" s="274">
        <f>IFERROR(VLOOKUP(Z27,'Helper(IMPORTANT!)'!$CQ$1:$CR$41,2,TRUE),"")</f>
        <v/>
      </c>
      <c r="AB27" s="170">
        <f t="array" ref="AB27">IF(AA27="", "", _xlfn.IFS(AA27&gt;=90, "A", AA27&gt;=80, "B", AA27&gt;=75, "C", AA27&gt;=65, "D", AA27&gt;=0, "E"))</f>
        <v/>
      </c>
      <c r="AD27" s="39" t="n"/>
    </row>
    <row r="28" ht="18" customHeight="1">
      <c r="A28" s="169" t="n">
        <v>16</v>
      </c>
      <c r="B28" s="442">
        <f>'INPUT DATA'!L26</f>
        <v/>
      </c>
      <c r="C28" s="673" t="n"/>
      <c r="D28" s="673" t="n"/>
      <c r="E28" s="674" t="n"/>
      <c r="F28" s="52" t="n"/>
      <c r="G28" s="49" t="n"/>
      <c r="H28" s="49" t="n"/>
      <c r="I28" s="49" t="n"/>
      <c r="J28" s="49" t="n"/>
      <c r="K28" s="48">
        <f>IF(COUNT($F28:$J28)=0,"",SUM($F28:$J28))</f>
        <v/>
      </c>
      <c r="L28" s="47">
        <f>IFERROR(IF(K28="","",ROUND(K28/$K$11*100,2)),"")</f>
        <v/>
      </c>
      <c r="M28" s="54">
        <f>IFERROR(IF(L28="","",ROUND(L28*$M$11,2)),"")</f>
        <v/>
      </c>
      <c r="N28" s="52" t="n"/>
      <c r="O28" s="49" t="n"/>
      <c r="P28" s="49" t="n"/>
      <c r="Q28" s="48">
        <f>IF(COUNT($N28:$P28)=0,"",SUM($N28:$P28))</f>
        <v/>
      </c>
      <c r="R28" s="47">
        <f>IFERROR(IF(Q28="","",ROUND(Q28/$Q$11*100,2)),"")</f>
        <v/>
      </c>
      <c r="S28" s="54">
        <f>IFERROR(IF(R28="","",ROUND(R28*$S$11,2)),"")</f>
        <v/>
      </c>
      <c r="T28" s="265" t="n"/>
      <c r="U28" s="46" t="n"/>
      <c r="V28" s="268" t="n"/>
      <c r="W28" s="297">
        <f>IF(COUNT($T28:$V28)=0,"",SUM($T28:$V28))</f>
        <v/>
      </c>
      <c r="X28" s="352">
        <f>IFERROR(IF(W28="","",ROUND((($T28/$T$11)*30 + ($U28/$U$11)*30 + ($V28/$V$11)*40),2)),"")</f>
        <v/>
      </c>
      <c r="Y28" s="54">
        <f>IFERROR(IF(X28="","",ROUND(X28*$Y$11,2)),"")</f>
        <v/>
      </c>
      <c r="Z28" s="55">
        <f>IFERROR(M28+S28+Y28,"")</f>
        <v/>
      </c>
      <c r="AA28" s="274">
        <f>IFERROR(VLOOKUP(Z28,'Helper(IMPORTANT!)'!$CQ$1:$CR$41,2,TRUE),"")</f>
        <v/>
      </c>
      <c r="AB28" s="170">
        <f t="array" ref="AB28">IF(AA28="", "", _xlfn.IFS(AA28&gt;=90, "A", AA28&gt;=80, "B", AA28&gt;=75, "C", AA28&gt;=65, "D", AA28&gt;=0, "E"))</f>
        <v/>
      </c>
      <c r="AD28" s="39" t="n"/>
    </row>
    <row r="29" ht="18" customHeight="1">
      <c r="A29" s="169" t="n">
        <v>17</v>
      </c>
      <c r="B29" s="442">
        <f>'INPUT DATA'!L27</f>
        <v/>
      </c>
      <c r="C29" s="673" t="n"/>
      <c r="D29" s="673" t="n"/>
      <c r="E29" s="674" t="n"/>
      <c r="F29" s="52" t="n"/>
      <c r="G29" s="49" t="n"/>
      <c r="H29" s="49" t="n"/>
      <c r="I29" s="49" t="n"/>
      <c r="J29" s="49" t="n"/>
      <c r="K29" s="48">
        <f>IF(COUNT($F29:$J29)=0,"",SUM($F29:$J29))</f>
        <v/>
      </c>
      <c r="L29" s="47">
        <f>IFERROR(IF(K29="","",ROUND(K29/$K$11*100,2)),"")</f>
        <v/>
      </c>
      <c r="M29" s="54">
        <f>IFERROR(IF(L29="","",ROUND(L29*$M$11,2)),"")</f>
        <v/>
      </c>
      <c r="N29" s="52" t="n"/>
      <c r="O29" s="49" t="n"/>
      <c r="P29" s="49" t="n"/>
      <c r="Q29" s="48">
        <f>IF(COUNT($N29:$P29)=0,"",SUM($N29:$P29))</f>
        <v/>
      </c>
      <c r="R29" s="47">
        <f>IFERROR(IF(Q29="","",ROUND(Q29/$Q$11*100,2)),"")</f>
        <v/>
      </c>
      <c r="S29" s="54">
        <f>IFERROR(IF(R29="","",ROUND(R29*$S$11,2)),"")</f>
        <v/>
      </c>
      <c r="T29" s="265" t="n"/>
      <c r="U29" s="46" t="n"/>
      <c r="V29" s="268" t="n"/>
      <c r="W29" s="297">
        <f>IF(COUNT($T29:$V29)=0,"",SUM($T29:$V29))</f>
        <v/>
      </c>
      <c r="X29" s="352">
        <f>IFERROR(IF(W29="","",ROUND((($T29/$T$11)*30 + ($U29/$U$11)*30 + ($V29/$V$11)*40),2)),"")</f>
        <v/>
      </c>
      <c r="Y29" s="54">
        <f>IFERROR(IF(X29="","",ROUND(X29*$Y$11,2)),"")</f>
        <v/>
      </c>
      <c r="Z29" s="55">
        <f>IFERROR(M29+S29+Y29,"")</f>
        <v/>
      </c>
      <c r="AA29" s="274">
        <f>IFERROR(VLOOKUP(Z29,'Helper(IMPORTANT!)'!$CQ$1:$CR$41,2,TRUE),"")</f>
        <v/>
      </c>
      <c r="AB29" s="170">
        <f t="array" ref="AB29">IF(AA29="", "", _xlfn.IFS(AA29&gt;=90, "A", AA29&gt;=80, "B", AA29&gt;=75, "C", AA29&gt;=65, "D", AA29&gt;=0, "E"))</f>
        <v/>
      </c>
      <c r="AD29" s="39" t="n"/>
    </row>
    <row r="30" ht="18" customHeight="1">
      <c r="A30" s="169" t="n">
        <v>18</v>
      </c>
      <c r="B30" s="442">
        <f>'INPUT DATA'!L28</f>
        <v/>
      </c>
      <c r="C30" s="673" t="n"/>
      <c r="D30" s="673" t="n"/>
      <c r="E30" s="674" t="n"/>
      <c r="F30" s="52" t="n"/>
      <c r="G30" s="49" t="n"/>
      <c r="H30" s="49" t="n"/>
      <c r="I30" s="49" t="n"/>
      <c r="J30" s="49" t="n"/>
      <c r="K30" s="48">
        <f>IF(COUNT($F30:$J30)=0,"",SUM($F30:$J30))</f>
        <v/>
      </c>
      <c r="L30" s="47">
        <f>IFERROR(IF(K30="","",ROUND(K30/$K$11*100,2)),"")</f>
        <v/>
      </c>
      <c r="M30" s="54">
        <f>IFERROR(IF(L30="","",ROUND(L30*$M$11,2)),"")</f>
        <v/>
      </c>
      <c r="N30" s="52" t="n"/>
      <c r="O30" s="49" t="n"/>
      <c r="P30" s="49" t="n"/>
      <c r="Q30" s="48">
        <f>IF(COUNT($N30:$P30)=0,"",SUM($N30:$P30))</f>
        <v/>
      </c>
      <c r="R30" s="47">
        <f>IFERROR(IF(Q30="","",ROUND(Q30/$Q$11*100,2)),"")</f>
        <v/>
      </c>
      <c r="S30" s="54">
        <f>IFERROR(IF(R30="","",ROUND(R30*$S$11,2)),"")</f>
        <v/>
      </c>
      <c r="T30" s="265" t="n"/>
      <c r="U30" s="46" t="n"/>
      <c r="V30" s="268" t="n"/>
      <c r="W30" s="297">
        <f>IF(COUNT($T30:$V30)=0,"",SUM($T30:$V30))</f>
        <v/>
      </c>
      <c r="X30" s="352">
        <f>IFERROR(IF(W30="","",ROUND((($T30/$T$11)*30 + ($U30/$U$11)*30 + ($V30/$V$11)*40),2)),"")</f>
        <v/>
      </c>
      <c r="Y30" s="54">
        <f>IFERROR(IF(X30="","",ROUND(X30*$Y$11,2)),"")</f>
        <v/>
      </c>
      <c r="Z30" s="55">
        <f>IFERROR(M30+S30+Y30,"")</f>
        <v/>
      </c>
      <c r="AA30" s="274">
        <f>IFERROR(VLOOKUP(Z30,'Helper(IMPORTANT!)'!$CQ$1:$CR$41,2,TRUE),"")</f>
        <v/>
      </c>
      <c r="AB30" s="170">
        <f t="array" ref="AB30">IF(AA30="", "", _xlfn.IFS(AA30&gt;=90, "A", AA30&gt;=80, "B", AA30&gt;=75, "C", AA30&gt;=65, "D", AA30&gt;=0, "E"))</f>
        <v/>
      </c>
      <c r="AD30" s="39" t="n"/>
    </row>
    <row r="31" ht="18" customHeight="1">
      <c r="A31" s="169" t="n">
        <v>19</v>
      </c>
      <c r="B31" s="442">
        <f>'INPUT DATA'!L29</f>
        <v/>
      </c>
      <c r="C31" s="673" t="n"/>
      <c r="D31" s="673" t="n"/>
      <c r="E31" s="674" t="n"/>
      <c r="F31" s="52" t="n"/>
      <c r="G31" s="49" t="n"/>
      <c r="H31" s="49" t="n"/>
      <c r="I31" s="49" t="n"/>
      <c r="J31" s="49" t="n"/>
      <c r="K31" s="48">
        <f>IF(COUNT($F31:$J31)=0,"",SUM($F31:$J31))</f>
        <v/>
      </c>
      <c r="L31" s="47">
        <f>IFERROR(IF(K31="","",ROUND(K31/$K$11*100,2)),"")</f>
        <v/>
      </c>
      <c r="M31" s="54">
        <f>IFERROR(IF(L31="","",ROUND(L31*$M$11,2)),"")</f>
        <v/>
      </c>
      <c r="N31" s="52" t="n"/>
      <c r="O31" s="49" t="n"/>
      <c r="P31" s="49" t="n"/>
      <c r="Q31" s="48">
        <f>IF(COUNT($N31:$P31)=0,"",SUM($N31:$P31))</f>
        <v/>
      </c>
      <c r="R31" s="47">
        <f>IFERROR(IF(Q31="","",ROUND(Q31/$Q$11*100,2)),"")</f>
        <v/>
      </c>
      <c r="S31" s="54">
        <f>IFERROR(IF(R31="","",ROUND(R31*$S$11,2)),"")</f>
        <v/>
      </c>
      <c r="T31" s="265" t="n"/>
      <c r="U31" s="46" t="n"/>
      <c r="V31" s="268" t="n"/>
      <c r="W31" s="297">
        <f>IF(COUNT($T31:$V31)=0,"",SUM($T31:$V31))</f>
        <v/>
      </c>
      <c r="X31" s="352">
        <f>IFERROR(IF(W31="","",ROUND((($T31/$T$11)*30 + ($U31/$U$11)*30 + ($V31/$V$11)*40),2)),"")</f>
        <v/>
      </c>
      <c r="Y31" s="54">
        <f>IFERROR(IF(X31="","",ROUND(X31*$Y$11,2)),"")</f>
        <v/>
      </c>
      <c r="Z31" s="55">
        <f>IFERROR(M31+S31+Y31,"")</f>
        <v/>
      </c>
      <c r="AA31" s="274">
        <f>IFERROR(VLOOKUP(Z31,'Helper(IMPORTANT!)'!$CQ$1:$CR$41,2,TRUE),"")</f>
        <v/>
      </c>
      <c r="AB31" s="170">
        <f t="array" ref="AB31">IF(AA31="", "", _xlfn.IFS(AA31&gt;=90, "A", AA31&gt;=80, "B", AA31&gt;=75, "C", AA31&gt;=65, "D", AA31&gt;=0, "E"))</f>
        <v/>
      </c>
      <c r="AD31" s="39" t="n"/>
    </row>
    <row r="32" ht="18" customHeight="1">
      <c r="A32" s="169" t="n">
        <v>20</v>
      </c>
      <c r="B32" s="442">
        <f>'INPUT DATA'!L30</f>
        <v/>
      </c>
      <c r="C32" s="673" t="n"/>
      <c r="D32" s="673" t="n"/>
      <c r="E32" s="674" t="n"/>
      <c r="F32" s="52" t="n"/>
      <c r="G32" s="49" t="n"/>
      <c r="H32" s="49" t="n"/>
      <c r="I32" s="49" t="n"/>
      <c r="J32" s="49" t="n"/>
      <c r="K32" s="48">
        <f>IF(COUNT($F32:$J32)=0,"",SUM($F32:$J32))</f>
        <v/>
      </c>
      <c r="L32" s="47">
        <f>IFERROR(IF(K32="","",ROUND(K32/$K$11*100,2)),"")</f>
        <v/>
      </c>
      <c r="M32" s="54">
        <f>IFERROR(IF(L32="","",ROUND(L32*$M$11,2)),"")</f>
        <v/>
      </c>
      <c r="N32" s="52" t="n"/>
      <c r="O32" s="49" t="n"/>
      <c r="P32" s="49" t="n"/>
      <c r="Q32" s="48">
        <f>IF(COUNT($N32:$P32)=0,"",SUM($N32:$P32))</f>
        <v/>
      </c>
      <c r="R32" s="47">
        <f>IFERROR(IF(Q32="","",ROUND(Q32/$Q$11*100,2)),"")</f>
        <v/>
      </c>
      <c r="S32" s="54">
        <f>IFERROR(IF(R32="","",ROUND(R32*$S$11,2)),"")</f>
        <v/>
      </c>
      <c r="T32" s="265" t="n"/>
      <c r="U32" s="46" t="n"/>
      <c r="V32" s="268" t="n"/>
      <c r="W32" s="297">
        <f>IF(COUNT($T32:$V32)=0,"",SUM($T32:$V32))</f>
        <v/>
      </c>
      <c r="X32" s="352">
        <f>IFERROR(IF(W32="","",ROUND((($T32/$T$11)*30 + ($U32/$U$11)*30 + ($V32/$V$11)*40),2)),"")</f>
        <v/>
      </c>
      <c r="Y32" s="54">
        <f>IFERROR(IF(X32="","",ROUND(X32*$Y$11,2)),"")</f>
        <v/>
      </c>
      <c r="Z32" s="55">
        <f>IFERROR(M32+S32+Y32,"")</f>
        <v/>
      </c>
      <c r="AA32" s="274">
        <f>IFERROR(VLOOKUP(Z32,'Helper(IMPORTANT!)'!$CQ$1:$CR$41,2,TRUE),"")</f>
        <v/>
      </c>
      <c r="AB32" s="170">
        <f t="array" ref="AB32">IF(AA32="", "", _xlfn.IFS(AA32&gt;=90, "A", AA32&gt;=80, "B", AA32&gt;=75, "C", AA32&gt;=65, "D", AA32&gt;=0, "E"))</f>
        <v/>
      </c>
      <c r="AD32" s="39" t="n"/>
    </row>
    <row r="33" ht="18" customHeight="1">
      <c r="A33" s="169" t="n">
        <v>21</v>
      </c>
      <c r="B33" s="442">
        <f>'INPUT DATA'!L31</f>
        <v/>
      </c>
      <c r="C33" s="673" t="n"/>
      <c r="D33" s="673" t="n"/>
      <c r="E33" s="674" t="n"/>
      <c r="F33" s="52" t="n"/>
      <c r="G33" s="49" t="n"/>
      <c r="H33" s="49" t="n"/>
      <c r="I33" s="49" t="n"/>
      <c r="J33" s="49" t="n"/>
      <c r="K33" s="48">
        <f>IF(COUNT($F33:$J33)=0,"",SUM($F33:$J33))</f>
        <v/>
      </c>
      <c r="L33" s="47">
        <f>IFERROR(IF(K33="","",ROUND(K33/$K$11*100,2)),"")</f>
        <v/>
      </c>
      <c r="M33" s="54">
        <f>IFERROR(IF(L33="","",ROUND(L33*$M$11,2)),"")</f>
        <v/>
      </c>
      <c r="N33" s="52" t="n"/>
      <c r="O33" s="49" t="n"/>
      <c r="P33" s="49" t="n"/>
      <c r="Q33" s="48">
        <f>IF(COUNT($N33:$P33)=0,"",SUM($N33:$P33))</f>
        <v/>
      </c>
      <c r="R33" s="47">
        <f>IFERROR(IF(Q33="","",ROUND(Q33/$Q$11*100,2)),"")</f>
        <v/>
      </c>
      <c r="S33" s="54">
        <f>IFERROR(IF(R33="","",ROUND(R33*$S$11,2)),"")</f>
        <v/>
      </c>
      <c r="T33" s="265" t="n"/>
      <c r="U33" s="46" t="n"/>
      <c r="V33" s="268" t="n"/>
      <c r="W33" s="297">
        <f>IF(COUNT($T33:$V33)=0,"",SUM($T33:$V33))</f>
        <v/>
      </c>
      <c r="X33" s="352">
        <f>IFERROR(IF(W33="","",ROUND((($T33/$T$11)*30 + ($U33/$U$11)*30 + ($V33/$V$11)*40),2)),"")</f>
        <v/>
      </c>
      <c r="Y33" s="54">
        <f>IFERROR(IF(X33="","",ROUND(X33*$Y$11,2)),"")</f>
        <v/>
      </c>
      <c r="Z33" s="55">
        <f>IFERROR(M33+S33+Y33,"")</f>
        <v/>
      </c>
      <c r="AA33" s="274">
        <f>IFERROR(VLOOKUP(Z33,'Helper(IMPORTANT!)'!$CQ$1:$CR$41,2,TRUE),"")</f>
        <v/>
      </c>
      <c r="AB33" s="170">
        <f t="array" ref="AB33">IF(AA33="", "", _xlfn.IFS(AA33&gt;=90, "A", AA33&gt;=80, "B", AA33&gt;=75, "C", AA33&gt;=65, "D", AA33&gt;=0, "E"))</f>
        <v/>
      </c>
      <c r="AD33" s="39" t="n"/>
    </row>
    <row r="34" ht="18" customHeight="1">
      <c r="A34" s="169" t="n">
        <v>22</v>
      </c>
      <c r="B34" s="442">
        <f>'INPUT DATA'!L32</f>
        <v/>
      </c>
      <c r="C34" s="673" t="n"/>
      <c r="D34" s="673" t="n"/>
      <c r="E34" s="674" t="n"/>
      <c r="F34" s="52" t="n"/>
      <c r="G34" s="49" t="n"/>
      <c r="H34" s="49" t="n"/>
      <c r="I34" s="49" t="n"/>
      <c r="J34" s="49" t="n"/>
      <c r="K34" s="48">
        <f>IF(COUNT($F34:$J34)=0,"",SUM($F34:$J34))</f>
        <v/>
      </c>
      <c r="L34" s="47">
        <f>IFERROR(IF(K34="","",ROUND(K34/$K$11*100,2)),"")</f>
        <v/>
      </c>
      <c r="M34" s="54">
        <f>IFERROR(IF(L34="","",ROUND(L34*$M$11,2)),"")</f>
        <v/>
      </c>
      <c r="N34" s="52" t="n"/>
      <c r="O34" s="49" t="n"/>
      <c r="P34" s="49" t="n"/>
      <c r="Q34" s="48">
        <f>IF(COUNT($N34:$P34)=0,"",SUM($N34:$P34))</f>
        <v/>
      </c>
      <c r="R34" s="47">
        <f>IFERROR(IF(Q34="","",ROUND(Q34/$Q$11*100,2)),"")</f>
        <v/>
      </c>
      <c r="S34" s="54">
        <f>IFERROR(IF(R34="","",ROUND(R34*$S$11,2)),"")</f>
        <v/>
      </c>
      <c r="T34" s="265" t="n"/>
      <c r="U34" s="46" t="n"/>
      <c r="V34" s="268" t="n"/>
      <c r="W34" s="297">
        <f>IF(COUNT($T34:$V34)=0,"",SUM($T34:$V34))</f>
        <v/>
      </c>
      <c r="X34" s="352">
        <f>IFERROR(IF(W34="","",ROUND((($T34/$T$11)*30 + ($U34/$U$11)*30 + ($V34/$V$11)*40),2)),"")</f>
        <v/>
      </c>
      <c r="Y34" s="54">
        <f>IFERROR(IF(X34="","",ROUND(X34*$Y$11,2)),"")</f>
        <v/>
      </c>
      <c r="Z34" s="55">
        <f>IFERROR(M34+S34+Y34,"")</f>
        <v/>
      </c>
      <c r="AA34" s="274">
        <f>IFERROR(VLOOKUP(Z34,'Helper(IMPORTANT!)'!$CQ$1:$CR$41,2,TRUE),"")</f>
        <v/>
      </c>
      <c r="AB34" s="170">
        <f t="array" ref="AB34">IF(AA34="", "", _xlfn.IFS(AA34&gt;=90, "A", AA34&gt;=80, "B", AA34&gt;=75, "C", AA34&gt;=65, "D", AA34&gt;=0, "E"))</f>
        <v/>
      </c>
      <c r="AD34" s="39" t="n"/>
      <c r="AG34" s="38" t="n"/>
      <c r="AH34" s="38" t="n"/>
      <c r="AI34" s="38" t="n"/>
    </row>
    <row r="35" ht="18" customHeight="1">
      <c r="A35" s="169" t="n">
        <v>23</v>
      </c>
      <c r="B35" s="442">
        <f>'INPUT DATA'!L33</f>
        <v/>
      </c>
      <c r="C35" s="673" t="n"/>
      <c r="D35" s="673" t="n"/>
      <c r="E35" s="674" t="n"/>
      <c r="F35" s="52" t="n"/>
      <c r="G35" s="49" t="n"/>
      <c r="H35" s="49" t="n"/>
      <c r="I35" s="49" t="n"/>
      <c r="J35" s="49" t="n"/>
      <c r="K35" s="48">
        <f>IF(COUNT($F35:$J35)=0,"",SUM($F35:$J35))</f>
        <v/>
      </c>
      <c r="L35" s="47">
        <f>IFERROR(IF(K35="","",ROUND(K35/$K$11*100,2)),"")</f>
        <v/>
      </c>
      <c r="M35" s="54">
        <f>IFERROR(IF(L35="","",ROUND(L35*$M$11,2)),"")</f>
        <v/>
      </c>
      <c r="N35" s="52" t="n"/>
      <c r="O35" s="49" t="n"/>
      <c r="P35" s="49" t="n"/>
      <c r="Q35" s="48">
        <f>IF(COUNT($N35:$P35)=0,"",SUM($N35:$P35))</f>
        <v/>
      </c>
      <c r="R35" s="47">
        <f>IFERROR(IF(Q35="","",ROUND(Q35/$Q$11*100,2)),"")</f>
        <v/>
      </c>
      <c r="S35" s="54">
        <f>IFERROR(IF(R35="","",ROUND(R35*$S$11,2)),"")</f>
        <v/>
      </c>
      <c r="T35" s="265" t="n"/>
      <c r="U35" s="46" t="n"/>
      <c r="V35" s="268" t="n"/>
      <c r="W35" s="297">
        <f>IF(COUNT($T35:$V35)=0,"",SUM($T35:$V35))</f>
        <v/>
      </c>
      <c r="X35" s="352">
        <f>IFERROR(IF(W35="","",ROUND((($T35/$T$11)*30 + ($U35/$U$11)*30 + ($V35/$V$11)*40),2)),"")</f>
        <v/>
      </c>
      <c r="Y35" s="54">
        <f>IFERROR(IF(X35="","",ROUND(X35*$Y$11,2)),"")</f>
        <v/>
      </c>
      <c r="Z35" s="55">
        <f>IFERROR(M35+S35+Y35,"")</f>
        <v/>
      </c>
      <c r="AA35" s="274">
        <f>IFERROR(VLOOKUP(Z35,'Helper(IMPORTANT!)'!$CQ$1:$CR$41,2,TRUE),"")</f>
        <v/>
      </c>
      <c r="AB35" s="170">
        <f t="array" ref="AB35">IF(AA35="", "", _xlfn.IFS(AA35&gt;=90, "A", AA35&gt;=80, "B", AA35&gt;=75, "C", AA35&gt;=65, "D", AA35&gt;=0, "E"))</f>
        <v/>
      </c>
      <c r="AD35" s="39" t="n"/>
      <c r="AG35" s="38" t="n"/>
      <c r="AH35" s="38" t="n"/>
      <c r="AI35" s="38" t="n"/>
    </row>
    <row r="36" ht="18" customHeight="1">
      <c r="A36" s="169" t="n">
        <v>24</v>
      </c>
      <c r="B36" s="442">
        <f>'INPUT DATA'!L34</f>
        <v/>
      </c>
      <c r="C36" s="673" t="n"/>
      <c r="D36" s="673" t="n"/>
      <c r="E36" s="674" t="n"/>
      <c r="F36" s="52" t="n"/>
      <c r="G36" s="49" t="n"/>
      <c r="H36" s="49" t="n"/>
      <c r="I36" s="49" t="n"/>
      <c r="J36" s="49" t="n"/>
      <c r="K36" s="48">
        <f>IF(COUNT($F36:$J36)=0,"",SUM($F36:$J36))</f>
        <v/>
      </c>
      <c r="L36" s="47">
        <f>IFERROR(IF(K36="","",ROUND(K36/$K$11*100,2)),"")</f>
        <v/>
      </c>
      <c r="M36" s="54">
        <f>IFERROR(IF(L36="","",ROUND(L36*$M$11,2)),"")</f>
        <v/>
      </c>
      <c r="N36" s="52" t="n"/>
      <c r="O36" s="49" t="n"/>
      <c r="P36" s="49" t="n"/>
      <c r="Q36" s="48">
        <f>IF(COUNT($N36:$P36)=0,"",SUM($N36:$P36))</f>
        <v/>
      </c>
      <c r="R36" s="47">
        <f>IFERROR(IF(Q36="","",ROUND(Q36/$Q$11*100,2)),"")</f>
        <v/>
      </c>
      <c r="S36" s="54">
        <f>IFERROR(IF(R36="","",ROUND(R36*$S$11,2)),"")</f>
        <v/>
      </c>
      <c r="T36" s="265" t="n"/>
      <c r="U36" s="46" t="n"/>
      <c r="V36" s="268" t="n"/>
      <c r="W36" s="297">
        <f>IF(COUNT($T36:$V36)=0,"",SUM($T36:$V36))</f>
        <v/>
      </c>
      <c r="X36" s="352">
        <f>IFERROR(IF(W36="","",ROUND((($T36/$T$11)*30 + ($U36/$U$11)*30 + ($V36/$V$11)*40),2)),"")</f>
        <v/>
      </c>
      <c r="Y36" s="54">
        <f>IFERROR(IF(X36="","",ROUND(X36*$Y$11,2)),"")</f>
        <v/>
      </c>
      <c r="Z36" s="55">
        <f>IFERROR(M36+S36+Y36,"")</f>
        <v/>
      </c>
      <c r="AA36" s="274">
        <f>IFERROR(VLOOKUP(Z36,'Helper(IMPORTANT!)'!$CQ$1:$CR$41,2,TRUE),"")</f>
        <v/>
      </c>
      <c r="AB36" s="170">
        <f t="array" ref="AB36">IF(AA36="", "", _xlfn.IFS(AA36&gt;=90, "A", AA36&gt;=80, "B", AA36&gt;=75, "C", AA36&gt;=65, "D", AA36&gt;=0, "E"))</f>
        <v/>
      </c>
      <c r="AD36" s="39" t="n"/>
      <c r="AG36" s="38" t="n"/>
      <c r="AH36" s="38" t="n"/>
      <c r="AI36" s="38" t="n"/>
    </row>
    <row r="37" ht="18" customHeight="1">
      <c r="A37" s="169" t="n">
        <v>25</v>
      </c>
      <c r="B37" s="442">
        <f>'INPUT DATA'!L35</f>
        <v/>
      </c>
      <c r="C37" s="673" t="n"/>
      <c r="D37" s="673" t="n"/>
      <c r="E37" s="674" t="n"/>
      <c r="F37" s="52" t="n"/>
      <c r="G37" s="49" t="n"/>
      <c r="H37" s="49" t="n"/>
      <c r="I37" s="49" t="n"/>
      <c r="J37" s="49" t="n"/>
      <c r="K37" s="48">
        <f>IF(COUNT($F37:$J37)=0,"",SUM($F37:$J37))</f>
        <v/>
      </c>
      <c r="L37" s="47">
        <f>IFERROR(IF(K37="","",ROUND(K37/$K$11*100,2)),"")</f>
        <v/>
      </c>
      <c r="M37" s="54">
        <f>IFERROR(IF(L37="","",ROUND(L37*$M$11,2)),"")</f>
        <v/>
      </c>
      <c r="N37" s="52" t="n"/>
      <c r="O37" s="49" t="n"/>
      <c r="P37" s="49" t="n"/>
      <c r="Q37" s="48">
        <f>IF(COUNT($N37:$P37)=0,"",SUM($N37:$P37))</f>
        <v/>
      </c>
      <c r="R37" s="47">
        <f>IFERROR(IF(Q37="","",ROUND(Q37/$Q$11*100,2)),"")</f>
        <v/>
      </c>
      <c r="S37" s="54">
        <f>IFERROR(IF(R37="","",ROUND(R37*$S$11,2)),"")</f>
        <v/>
      </c>
      <c r="T37" s="265" t="n"/>
      <c r="U37" s="46" t="n"/>
      <c r="V37" s="268" t="n"/>
      <c r="W37" s="297">
        <f>IF(COUNT($T37:$V37)=0,"",SUM($T37:$V37))</f>
        <v/>
      </c>
      <c r="X37" s="352">
        <f>IFERROR(IF(W37="","",ROUND((($T37/$T$11)*30 + ($U37/$U$11)*30 + ($V37/$V$11)*40),2)),"")</f>
        <v/>
      </c>
      <c r="Y37" s="54">
        <f>IFERROR(IF(X37="","",ROUND(X37*$Y$11,2)),"")</f>
        <v/>
      </c>
      <c r="Z37" s="55">
        <f>IFERROR(M37+S37+Y37,"")</f>
        <v/>
      </c>
      <c r="AA37" s="274">
        <f>IFERROR(VLOOKUP(Z37,'Helper(IMPORTANT!)'!$CQ$1:$CR$41,2,TRUE),"")</f>
        <v/>
      </c>
      <c r="AB37" s="170">
        <f t="array" ref="AB37">IF(AA37="", "", _xlfn.IFS(AA37&gt;=90, "A", AA37&gt;=80, "B", AA37&gt;=75, "C", AA37&gt;=65, "D", AA37&gt;=0, "E"))</f>
        <v/>
      </c>
      <c r="AD37" s="39" t="n"/>
      <c r="AG37" s="38" t="n"/>
      <c r="AH37" s="38" t="n"/>
      <c r="AI37" s="38" t="n"/>
    </row>
    <row r="38" ht="18" customHeight="1">
      <c r="A38" s="169" t="n">
        <v>26</v>
      </c>
      <c r="B38" s="442">
        <f>'INPUT DATA'!L36</f>
        <v/>
      </c>
      <c r="C38" s="673" t="n"/>
      <c r="D38" s="673" t="n"/>
      <c r="E38" s="674" t="n"/>
      <c r="F38" s="52" t="n"/>
      <c r="G38" s="49" t="n"/>
      <c r="H38" s="49" t="n"/>
      <c r="I38" s="49" t="n"/>
      <c r="J38" s="49" t="n"/>
      <c r="K38" s="48">
        <f>IF(COUNT($F38:$J38)=0,"",SUM($F38:$J38))</f>
        <v/>
      </c>
      <c r="L38" s="47">
        <f>IFERROR(IF(K38="","",ROUND(K38/$K$11*100,2)),"")</f>
        <v/>
      </c>
      <c r="M38" s="54">
        <f>IFERROR(IF(L38="","",ROUND(L38*$M$11,2)),"")</f>
        <v/>
      </c>
      <c r="N38" s="52" t="n"/>
      <c r="O38" s="49" t="n"/>
      <c r="P38" s="49" t="n"/>
      <c r="Q38" s="48">
        <f>IF(COUNT($N38:$P38)=0,"",SUM($N38:$P38))</f>
        <v/>
      </c>
      <c r="R38" s="47">
        <f>IFERROR(IF(Q38="","",ROUND(Q38/$Q$11*100,2)),"")</f>
        <v/>
      </c>
      <c r="S38" s="54">
        <f>IFERROR(IF(R38="","",ROUND(R38*$S$11,2)),"")</f>
        <v/>
      </c>
      <c r="T38" s="265" t="n"/>
      <c r="U38" s="46" t="n"/>
      <c r="V38" s="268" t="n"/>
      <c r="W38" s="297">
        <f>IF(COUNT($T38:$V38)=0,"",SUM($T38:$V38))</f>
        <v/>
      </c>
      <c r="X38" s="352">
        <f>IFERROR(IF(W38="","",ROUND((($T38/$T$11)*30 + ($U38/$U$11)*30 + ($V38/$V$11)*40),2)),"")</f>
        <v/>
      </c>
      <c r="Y38" s="54">
        <f>IFERROR(IF(X38="","",ROUND(X38*$Y$11,2)),"")</f>
        <v/>
      </c>
      <c r="Z38" s="55">
        <f>IFERROR(M38+S38+Y38,"")</f>
        <v/>
      </c>
      <c r="AA38" s="274">
        <f>IFERROR(VLOOKUP(Z38,'Helper(IMPORTANT!)'!$CQ$1:$CR$41,2,TRUE),"")</f>
        <v/>
      </c>
      <c r="AB38" s="170">
        <f t="array" ref="AB38">IF(AA38="", "", _xlfn.IFS(AA38&gt;=90, "A", AA38&gt;=80, "B", AA38&gt;=75, "C", AA38&gt;=65, "D", AA38&gt;=0, "E"))</f>
        <v/>
      </c>
      <c r="AD38" s="39" t="n"/>
      <c r="AG38" s="38" t="n"/>
      <c r="AH38" s="38" t="n"/>
      <c r="AI38" s="38" t="n"/>
    </row>
    <row r="39" ht="18" customHeight="1">
      <c r="A39" s="169" t="n">
        <v>27</v>
      </c>
      <c r="B39" s="442">
        <f>'INPUT DATA'!L37</f>
        <v/>
      </c>
      <c r="C39" s="673" t="n"/>
      <c r="D39" s="673" t="n"/>
      <c r="E39" s="674" t="n"/>
      <c r="F39" s="52" t="n"/>
      <c r="G39" s="49" t="n"/>
      <c r="H39" s="49" t="n"/>
      <c r="I39" s="49" t="n"/>
      <c r="J39" s="49" t="n"/>
      <c r="K39" s="48">
        <f>IF(COUNT($F39:$J39)=0,"",SUM($F39:$J39))</f>
        <v/>
      </c>
      <c r="L39" s="47">
        <f>IFERROR(IF(K39="","",ROUND(K39/$K$11*100,2)),"")</f>
        <v/>
      </c>
      <c r="M39" s="54">
        <f>IFERROR(IF(L39="","",ROUND(L39*$M$11,2)),"")</f>
        <v/>
      </c>
      <c r="N39" s="52" t="n"/>
      <c r="O39" s="49" t="n"/>
      <c r="P39" s="49" t="n"/>
      <c r="Q39" s="48">
        <f>IF(COUNT($N39:$P39)=0,"",SUM($N39:$P39))</f>
        <v/>
      </c>
      <c r="R39" s="47">
        <f>IFERROR(IF(Q39="","",ROUND(Q39/$Q$11*100,2)),"")</f>
        <v/>
      </c>
      <c r="S39" s="54">
        <f>IFERROR(IF(R39="","",ROUND(R39*$S$11,2)),"")</f>
        <v/>
      </c>
      <c r="T39" s="265" t="n"/>
      <c r="U39" s="46" t="n"/>
      <c r="V39" s="268" t="n"/>
      <c r="W39" s="297">
        <f>IF(COUNT($T39:$V39)=0,"",SUM($T39:$V39))</f>
        <v/>
      </c>
      <c r="X39" s="352">
        <f>IFERROR(IF(W39="","",ROUND((($T39/$T$11)*30 + ($U39/$U$11)*30 + ($V39/$V$11)*40),2)),"")</f>
        <v/>
      </c>
      <c r="Y39" s="54">
        <f>IFERROR(IF(X39="","",ROUND(X39*$Y$11,2)),"")</f>
        <v/>
      </c>
      <c r="Z39" s="55">
        <f>IFERROR(M39+S39+Y39,"")</f>
        <v/>
      </c>
      <c r="AA39" s="274">
        <f>IFERROR(VLOOKUP(Z39,'Helper(IMPORTANT!)'!$CQ$1:$CR$41,2,TRUE),"")</f>
        <v/>
      </c>
      <c r="AB39" s="170">
        <f t="array" ref="AB39">IF(AA39="", "", _xlfn.IFS(AA39&gt;=90, "A", AA39&gt;=80, "B", AA39&gt;=75, "C", AA39&gt;=65, "D", AA39&gt;=0, "E"))</f>
        <v/>
      </c>
      <c r="AD39" s="39" t="n"/>
      <c r="AG39" s="38" t="n"/>
      <c r="AH39" s="38" t="n"/>
      <c r="AI39" s="38" t="n"/>
    </row>
    <row r="40" ht="18" customHeight="1">
      <c r="A40" s="169" t="n">
        <v>28</v>
      </c>
      <c r="B40" s="442">
        <f>'INPUT DATA'!L38</f>
        <v/>
      </c>
      <c r="C40" s="673" t="n"/>
      <c r="D40" s="673" t="n"/>
      <c r="E40" s="674" t="n"/>
      <c r="F40" s="52" t="n"/>
      <c r="G40" s="49" t="n"/>
      <c r="H40" s="49" t="n"/>
      <c r="I40" s="49" t="n"/>
      <c r="J40" s="49" t="n"/>
      <c r="K40" s="48">
        <f>IF(COUNT($F40:$J40)=0,"",SUM($F40:$J40))</f>
        <v/>
      </c>
      <c r="L40" s="47">
        <f>IFERROR(IF(K40="","",ROUND(K40/$K$11*100,2)),"")</f>
        <v/>
      </c>
      <c r="M40" s="54">
        <f>IFERROR(IF(L40="","",ROUND(L40*$M$11,2)),"")</f>
        <v/>
      </c>
      <c r="N40" s="52" t="n"/>
      <c r="O40" s="49" t="n"/>
      <c r="P40" s="49" t="n"/>
      <c r="Q40" s="48">
        <f>IF(COUNT($N40:$P40)=0,"",SUM($N40:$P40))</f>
        <v/>
      </c>
      <c r="R40" s="47">
        <f>IFERROR(IF(Q40="","",ROUND(Q40/$Q$11*100,2)),"")</f>
        <v/>
      </c>
      <c r="S40" s="54">
        <f>IFERROR(IF(R40="","",ROUND(R40*$S$11,2)),"")</f>
        <v/>
      </c>
      <c r="T40" s="265" t="n"/>
      <c r="U40" s="46" t="n"/>
      <c r="V40" s="268" t="n"/>
      <c r="W40" s="297">
        <f>IF(COUNT($T40:$V40)=0,"",SUM($T40:$V40))</f>
        <v/>
      </c>
      <c r="X40" s="352">
        <f>IFERROR(IF(W40="","",ROUND((($T40/$T$11)*30 + ($U40/$U$11)*30 + ($V40/$V$11)*40),2)),"")</f>
        <v/>
      </c>
      <c r="Y40" s="54">
        <f>IFERROR(IF(X40="","",ROUND(X40*$Y$11,2)),"")</f>
        <v/>
      </c>
      <c r="Z40" s="55">
        <f>IFERROR(M40+S40+Y40,"")</f>
        <v/>
      </c>
      <c r="AA40" s="274">
        <f>IFERROR(VLOOKUP(Z40,'Helper(IMPORTANT!)'!$CQ$1:$CR$41,2,TRUE),"")</f>
        <v/>
      </c>
      <c r="AB40" s="170">
        <f t="array" ref="AB40">IF(AA40="", "", _xlfn.IFS(AA40&gt;=90, "A", AA40&gt;=80, "B", AA40&gt;=75, "C", AA40&gt;=65, "D", AA40&gt;=0, "E"))</f>
        <v/>
      </c>
      <c r="AD40" s="39" t="n"/>
      <c r="AG40" s="38" t="n"/>
      <c r="AH40" s="38" t="n"/>
      <c r="AI40" s="38" t="n"/>
    </row>
    <row r="41" ht="18" customHeight="1">
      <c r="A41" s="169" t="n">
        <v>29</v>
      </c>
      <c r="B41" s="442">
        <f>'INPUT DATA'!L39</f>
        <v/>
      </c>
      <c r="C41" s="673" t="n"/>
      <c r="D41" s="673" t="n"/>
      <c r="E41" s="674" t="n"/>
      <c r="F41" s="52" t="n"/>
      <c r="G41" s="49" t="n"/>
      <c r="H41" s="49" t="n"/>
      <c r="I41" s="49" t="n"/>
      <c r="J41" s="49" t="n"/>
      <c r="K41" s="48">
        <f>IF(COUNT($F41:$J41)=0,"",SUM($F41:$J41))</f>
        <v/>
      </c>
      <c r="L41" s="47">
        <f>IFERROR(IF(K41="","",ROUND(K41/$K$11*100,2)),"")</f>
        <v/>
      </c>
      <c r="M41" s="54">
        <f>IFERROR(IF(L41="","",ROUND(L41*$M$11,2)),"")</f>
        <v/>
      </c>
      <c r="N41" s="52" t="n"/>
      <c r="O41" s="49" t="n"/>
      <c r="P41" s="49" t="n"/>
      <c r="Q41" s="48">
        <f>IF(COUNT($N41:$P41)=0,"",SUM($N41:$P41))</f>
        <v/>
      </c>
      <c r="R41" s="47">
        <f>IFERROR(IF(Q41="","",ROUND(Q41/$Q$11*100,2)),"")</f>
        <v/>
      </c>
      <c r="S41" s="54">
        <f>IFERROR(IF(R41="","",ROUND(R41*$S$11,2)),"")</f>
        <v/>
      </c>
      <c r="T41" s="265" t="n"/>
      <c r="U41" s="46" t="n"/>
      <c r="V41" s="268" t="n"/>
      <c r="W41" s="297">
        <f>IF(COUNT($T41:$V41)=0,"",SUM($T41:$V41))</f>
        <v/>
      </c>
      <c r="X41" s="352">
        <f>IFERROR(IF(W41="","",ROUND((($T41/$T$11)*30 + ($U41/$U$11)*30 + ($V41/$V$11)*40),2)),"")</f>
        <v/>
      </c>
      <c r="Y41" s="54">
        <f>IFERROR(IF(X41="","",ROUND(X41*$Y$11,2)),"")</f>
        <v/>
      </c>
      <c r="Z41" s="55">
        <f>IFERROR(M41+S41+Y41,"")</f>
        <v/>
      </c>
      <c r="AA41" s="274">
        <f>IFERROR(VLOOKUP(Z41,'Helper(IMPORTANT!)'!$CQ$1:$CR$41,2,TRUE),"")</f>
        <v/>
      </c>
      <c r="AB41" s="170">
        <f t="array" ref="AB41">IF(AA41="", "", _xlfn.IFS(AA41&gt;=90, "A", AA41&gt;=80, "B", AA41&gt;=75, "C", AA41&gt;=65, "D", AA41&gt;=0, "E"))</f>
        <v/>
      </c>
      <c r="AD41" s="39" t="n"/>
      <c r="AG41" s="38" t="n"/>
      <c r="AH41" s="38" t="n"/>
      <c r="AI41" s="38" t="n"/>
    </row>
    <row r="42" ht="18" customHeight="1">
      <c r="A42" s="169" t="n">
        <v>30</v>
      </c>
      <c r="B42" s="442">
        <f>'INPUT DATA'!L40</f>
        <v/>
      </c>
      <c r="C42" s="673" t="n"/>
      <c r="D42" s="673" t="n"/>
      <c r="E42" s="674" t="n"/>
      <c r="F42" s="52" t="n"/>
      <c r="G42" s="49" t="n"/>
      <c r="H42" s="49" t="n"/>
      <c r="I42" s="49" t="n"/>
      <c r="J42" s="49" t="n"/>
      <c r="K42" s="48">
        <f>IF(COUNT($F42:$J42)=0,"",SUM($F42:$J42))</f>
        <v/>
      </c>
      <c r="L42" s="47">
        <f>IFERROR(IF(K42="","",ROUND(K42/$K$11*100,2)),"")</f>
        <v/>
      </c>
      <c r="M42" s="54">
        <f>IFERROR(IF(L42="","",ROUND(L42*$M$11,2)),"")</f>
        <v/>
      </c>
      <c r="N42" s="52" t="n"/>
      <c r="O42" s="49" t="n"/>
      <c r="P42" s="49" t="n"/>
      <c r="Q42" s="48">
        <f>IF(COUNT($N42:$P42)=0,"",SUM($N42:$P42))</f>
        <v/>
      </c>
      <c r="R42" s="47">
        <f>IFERROR(IF(Q42="","",ROUND(Q42/$Q$11*100,2)),"")</f>
        <v/>
      </c>
      <c r="S42" s="54">
        <f>IFERROR(IF(R42="","",ROUND(R42*$S$11,2)),"")</f>
        <v/>
      </c>
      <c r="T42" s="265" t="n"/>
      <c r="U42" s="46" t="n"/>
      <c r="V42" s="268" t="n"/>
      <c r="W42" s="297">
        <f>IF(COUNT($T42:$V42)=0,"",SUM($T42:$V42))</f>
        <v/>
      </c>
      <c r="X42" s="352">
        <f>IFERROR(IF(W42="","",ROUND((($T42/$T$11)*30 + ($U42/$U$11)*30 + ($V42/$V$11)*40),2)),"")</f>
        <v/>
      </c>
      <c r="Y42" s="54">
        <f>IFERROR(IF(X42="","",ROUND(X42*$Y$11,2)),"")</f>
        <v/>
      </c>
      <c r="Z42" s="55">
        <f>IFERROR(M42+S42+Y42,"")</f>
        <v/>
      </c>
      <c r="AA42" s="274">
        <f>IFERROR(VLOOKUP(Z42,'Helper(IMPORTANT!)'!$CQ$1:$CR$41,2,TRUE),"")</f>
        <v/>
      </c>
      <c r="AB42" s="170">
        <f t="array" ref="AB42">IF(AA42="", "", _xlfn.IFS(AA42&gt;=90, "A", AA42&gt;=80, "B", AA42&gt;=75, "C", AA42&gt;=65, "D", AA42&gt;=0, "E"))</f>
        <v/>
      </c>
      <c r="AD42" s="39" t="n"/>
      <c r="AG42" s="38" t="n"/>
      <c r="AH42" s="38" t="n"/>
      <c r="AI42" s="38" t="n"/>
    </row>
    <row r="43" ht="18" customHeight="1">
      <c r="A43" s="169" t="n">
        <v>31</v>
      </c>
      <c r="B43" s="442">
        <f>'INPUT DATA'!L41</f>
        <v/>
      </c>
      <c r="C43" s="673" t="n"/>
      <c r="D43" s="673" t="n"/>
      <c r="E43" s="674" t="n"/>
      <c r="F43" s="52" t="n"/>
      <c r="G43" s="49" t="n"/>
      <c r="H43" s="49" t="n"/>
      <c r="I43" s="49" t="n"/>
      <c r="J43" s="49" t="n"/>
      <c r="K43" s="48">
        <f>IF(COUNT($F43:$J43)=0,"",SUM($F43:$J43))</f>
        <v/>
      </c>
      <c r="L43" s="47">
        <f>IFERROR(IF(K43="","",ROUND(K43/$K$11*100,2)),"")</f>
        <v/>
      </c>
      <c r="M43" s="54">
        <f>IFERROR(IF(L43="","",ROUND(L43*$M$11,2)),"")</f>
        <v/>
      </c>
      <c r="N43" s="52" t="n"/>
      <c r="O43" s="49" t="n"/>
      <c r="P43" s="49" t="n"/>
      <c r="Q43" s="48">
        <f>IF(COUNT($N43:$P43)=0,"",SUM($N43:$P43))</f>
        <v/>
      </c>
      <c r="R43" s="47">
        <f>IFERROR(IF(Q43="","",ROUND(Q43/$Q$11*100,2)),"")</f>
        <v/>
      </c>
      <c r="S43" s="54">
        <f>IFERROR(IF(R43="","",ROUND(R43*$S$11,2)),"")</f>
        <v/>
      </c>
      <c r="T43" s="265" t="n"/>
      <c r="U43" s="46" t="n"/>
      <c r="V43" s="268" t="n"/>
      <c r="W43" s="297">
        <f>IF(COUNT($T43:$V43)=0,"",SUM($T43:$V43))</f>
        <v/>
      </c>
      <c r="X43" s="352">
        <f>IFERROR(IF(W43="","",ROUND((($T43/$T$11)*30 + ($U43/$U$11)*30 + ($V43/$V$11)*40),2)),"")</f>
        <v/>
      </c>
      <c r="Y43" s="54">
        <f>IFERROR(IF(X43="","",ROUND(X43*$Y$11,2)),"")</f>
        <v/>
      </c>
      <c r="Z43" s="55">
        <f>IFERROR(M43+S43+Y43,"")</f>
        <v/>
      </c>
      <c r="AA43" s="274">
        <f>IFERROR(VLOOKUP(Z43,'Helper(IMPORTANT!)'!$CQ$1:$CR$41,2,TRUE),"")</f>
        <v/>
      </c>
      <c r="AB43" s="170">
        <f t="array" ref="AB43">IF(AA43="", "", _xlfn.IFS(AA43&gt;=90, "A", AA43&gt;=80, "B", AA43&gt;=75, "C", AA43&gt;=65, "D", AA43&gt;=0, "E"))</f>
        <v/>
      </c>
      <c r="AD43" s="39" t="n"/>
      <c r="AG43" s="38" t="n"/>
      <c r="AH43" s="38" t="n"/>
      <c r="AI43" s="38" t="n"/>
    </row>
    <row r="44" ht="18" customHeight="1">
      <c r="A44" s="169" t="n">
        <v>32</v>
      </c>
      <c r="B44" s="442">
        <f>'INPUT DATA'!L42</f>
        <v/>
      </c>
      <c r="C44" s="673" t="n"/>
      <c r="D44" s="673" t="n"/>
      <c r="E44" s="674" t="n"/>
      <c r="F44" s="52" t="n"/>
      <c r="G44" s="49" t="n"/>
      <c r="H44" s="49" t="n"/>
      <c r="I44" s="49" t="n"/>
      <c r="J44" s="49" t="n"/>
      <c r="K44" s="48">
        <f>IF(COUNT($F44:$J44)=0,"",SUM($F44:$J44))</f>
        <v/>
      </c>
      <c r="L44" s="47">
        <f>IFERROR(IF(K44="","",ROUND(K44/$K$11*100,2)),"")</f>
        <v/>
      </c>
      <c r="M44" s="54">
        <f>IFERROR(IF(L44="","",ROUND(L44*$M$11,2)),"")</f>
        <v/>
      </c>
      <c r="N44" s="52" t="n"/>
      <c r="O44" s="49" t="n"/>
      <c r="P44" s="49" t="n"/>
      <c r="Q44" s="48">
        <f>IF(COUNT($N44:$P44)=0,"",SUM($N44:$P44))</f>
        <v/>
      </c>
      <c r="R44" s="47">
        <f>IFERROR(IF(Q44="","",ROUND(Q44/$Q$11*100,2)),"")</f>
        <v/>
      </c>
      <c r="S44" s="54">
        <f>IFERROR(IF(R44="","",ROUND(R44*$S$11,2)),"")</f>
        <v/>
      </c>
      <c r="T44" s="265" t="n"/>
      <c r="U44" s="46" t="n"/>
      <c r="V44" s="268" t="n"/>
      <c r="W44" s="297">
        <f>IF(COUNT($T44:$V44)=0,"",SUM($T44:$V44))</f>
        <v/>
      </c>
      <c r="X44" s="352">
        <f>IFERROR(IF(W44="","",ROUND((($T44/$T$11)*30 + ($U44/$U$11)*30 + ($V44/$V$11)*40),2)),"")</f>
        <v/>
      </c>
      <c r="Y44" s="54">
        <f>IFERROR(IF(X44="","",ROUND(X44*$Y$11,2)),"")</f>
        <v/>
      </c>
      <c r="Z44" s="55">
        <f>IFERROR(M44+S44+Y44,"")</f>
        <v/>
      </c>
      <c r="AA44" s="274">
        <f>IFERROR(VLOOKUP(Z44,'Helper(IMPORTANT!)'!$CQ$1:$CR$41,2,TRUE),"")</f>
        <v/>
      </c>
      <c r="AB44" s="170">
        <f t="array" ref="AB44">IF(AA44="", "", _xlfn.IFS(AA44&gt;=90, "A", AA44&gt;=80, "B", AA44&gt;=75, "C", AA44&gt;=65, "D", AA44&gt;=0, "E"))</f>
        <v/>
      </c>
      <c r="AD44" s="39" t="n"/>
      <c r="AG44" s="38" t="n"/>
      <c r="AH44" s="38" t="n"/>
      <c r="AI44" s="38" t="n"/>
    </row>
    <row r="45" ht="18" customHeight="1">
      <c r="A45" s="169" t="n">
        <v>33</v>
      </c>
      <c r="B45" s="442">
        <f>'INPUT DATA'!L43</f>
        <v/>
      </c>
      <c r="C45" s="673" t="n"/>
      <c r="D45" s="673" t="n"/>
      <c r="E45" s="674" t="n"/>
      <c r="F45" s="52" t="n"/>
      <c r="G45" s="49" t="n"/>
      <c r="H45" s="49" t="n"/>
      <c r="I45" s="49" t="n"/>
      <c r="J45" s="49" t="n"/>
      <c r="K45" s="48">
        <f>IF(COUNT($F45:$J45)=0,"",SUM($F45:$J45))</f>
        <v/>
      </c>
      <c r="L45" s="47">
        <f>IFERROR(IF(K45="","",ROUND(K45/$K$11*100,2)),"")</f>
        <v/>
      </c>
      <c r="M45" s="54">
        <f>IFERROR(IF(L45="","",ROUND(L45*$M$11,2)),"")</f>
        <v/>
      </c>
      <c r="N45" s="52" t="n"/>
      <c r="O45" s="49" t="n"/>
      <c r="P45" s="49" t="n"/>
      <c r="Q45" s="48">
        <f>IF(COUNT($N45:$P45)=0,"",SUM($N45:$P45))</f>
        <v/>
      </c>
      <c r="R45" s="47">
        <f>IFERROR(IF(Q45="","",ROUND(Q45/$Q$11*100,2)),"")</f>
        <v/>
      </c>
      <c r="S45" s="54">
        <f>IFERROR(IF(R45="","",ROUND(R45*$S$11,2)),"")</f>
        <v/>
      </c>
      <c r="T45" s="265" t="n"/>
      <c r="U45" s="46" t="n"/>
      <c r="V45" s="268" t="n"/>
      <c r="W45" s="297">
        <f>IF(COUNT($T45:$V45)=0,"",SUM($T45:$V45))</f>
        <v/>
      </c>
      <c r="X45" s="352">
        <f>IFERROR(IF(W45="","",ROUND((($T45/$T$11)*30 + ($U45/$U$11)*30 + ($V45/$V$11)*40),2)),"")</f>
        <v/>
      </c>
      <c r="Y45" s="54">
        <f>IFERROR(IF(X45="","",ROUND(X45*$Y$11,2)),"")</f>
        <v/>
      </c>
      <c r="Z45" s="55">
        <f>IFERROR(M45+S45+Y45,"")</f>
        <v/>
      </c>
      <c r="AA45" s="274">
        <f>IFERROR(VLOOKUP(Z45,'Helper(IMPORTANT!)'!$CQ$1:$CR$41,2,TRUE),"")</f>
        <v/>
      </c>
      <c r="AB45" s="170">
        <f t="array" ref="AB45">IF(AA45="", "", _xlfn.IFS(AA45&gt;=90, "A", AA45&gt;=80, "B", AA45&gt;=75, "C", AA45&gt;=65, "D", AA45&gt;=0, "E"))</f>
        <v/>
      </c>
      <c r="AD45" s="39" t="n"/>
      <c r="AG45" s="38" t="n"/>
      <c r="AH45" s="38" t="n"/>
      <c r="AI45" s="38" t="n"/>
    </row>
    <row r="46" ht="18" customHeight="1">
      <c r="A46" s="169" t="n">
        <v>34</v>
      </c>
      <c r="B46" s="442">
        <f>'INPUT DATA'!L44</f>
        <v/>
      </c>
      <c r="C46" s="673" t="n"/>
      <c r="D46" s="673" t="n"/>
      <c r="E46" s="674" t="n"/>
      <c r="F46" s="52" t="n"/>
      <c r="G46" s="49" t="n"/>
      <c r="H46" s="49" t="n"/>
      <c r="I46" s="49" t="n"/>
      <c r="J46" s="49" t="n"/>
      <c r="K46" s="48">
        <f>IF(COUNT($F46:$J46)=0,"",SUM($F46:$J46))</f>
        <v/>
      </c>
      <c r="L46" s="47">
        <f>IFERROR(IF(K46="","",ROUND(K46/$K$11*100,2)),"")</f>
        <v/>
      </c>
      <c r="M46" s="54">
        <f>IFERROR(IF(L46="","",ROUND(L46*$M$11,2)),"")</f>
        <v/>
      </c>
      <c r="N46" s="52" t="n"/>
      <c r="O46" s="49" t="n"/>
      <c r="P46" s="49" t="n"/>
      <c r="Q46" s="48">
        <f>IF(COUNT($N46:$P46)=0,"",SUM($N46:$P46))</f>
        <v/>
      </c>
      <c r="R46" s="47">
        <f>IFERROR(IF(Q46="","",ROUND(Q46/$Q$11*100,2)),"")</f>
        <v/>
      </c>
      <c r="S46" s="54">
        <f>IFERROR(IF(R46="","",ROUND(R46*$S$11,2)),"")</f>
        <v/>
      </c>
      <c r="T46" s="265" t="n"/>
      <c r="U46" s="46" t="n"/>
      <c r="V46" s="268" t="n"/>
      <c r="W46" s="297">
        <f>IF(COUNT($T46:$V46)=0,"",SUM($T46:$V46))</f>
        <v/>
      </c>
      <c r="X46" s="352">
        <f>IFERROR(IF(W46="","",ROUND((($T46/$T$11)*30 + ($U46/$U$11)*30 + ($V46/$V$11)*40),2)),"")</f>
        <v/>
      </c>
      <c r="Y46" s="54">
        <f>IFERROR(IF(X46="","",ROUND(X46*$Y$11,2)),"")</f>
        <v/>
      </c>
      <c r="Z46" s="55">
        <f>IFERROR(M46+S46+Y46,"")</f>
        <v/>
      </c>
      <c r="AA46" s="274">
        <f>IFERROR(VLOOKUP(Z46,'Helper(IMPORTANT!)'!$CQ$1:$CR$41,2,TRUE),"")</f>
        <v/>
      </c>
      <c r="AB46" s="170">
        <f t="array" ref="AB46">IF(AA46="", "", _xlfn.IFS(AA46&gt;=90, "A", AA46&gt;=80, "B", AA46&gt;=75, "C", AA46&gt;=65, "D", AA46&gt;=0, "E"))</f>
        <v/>
      </c>
      <c r="AD46" s="39" t="n"/>
      <c r="AG46" s="38" t="n"/>
      <c r="AH46" s="38" t="n"/>
      <c r="AI46" s="38" t="n"/>
    </row>
    <row r="47" ht="18" customHeight="1">
      <c r="A47" s="169" t="n">
        <v>35</v>
      </c>
      <c r="B47" s="442">
        <f>'INPUT DATA'!L45</f>
        <v/>
      </c>
      <c r="C47" s="673" t="n"/>
      <c r="D47" s="673" t="n"/>
      <c r="E47" s="674" t="n"/>
      <c r="F47" s="52" t="n"/>
      <c r="G47" s="49" t="n"/>
      <c r="H47" s="49" t="n"/>
      <c r="I47" s="49" t="n"/>
      <c r="J47" s="49" t="n"/>
      <c r="K47" s="48">
        <f>IF(COUNT($F47:$J47)=0,"",SUM($F47:$J47))</f>
        <v/>
      </c>
      <c r="L47" s="47">
        <f>IFERROR(IF(K47="","",ROUND(K47/$K$11*100,2)),"")</f>
        <v/>
      </c>
      <c r="M47" s="54">
        <f>IFERROR(IF(L47="","",ROUND(L47*$M$11,2)),"")</f>
        <v/>
      </c>
      <c r="N47" s="52" t="n"/>
      <c r="O47" s="49" t="n"/>
      <c r="P47" s="49" t="n"/>
      <c r="Q47" s="48">
        <f>IF(COUNT($N47:$P47)=0,"",SUM($N47:$P47))</f>
        <v/>
      </c>
      <c r="R47" s="47">
        <f>IFERROR(IF(Q47="","",ROUND(Q47/$Q$11*100,2)),"")</f>
        <v/>
      </c>
      <c r="S47" s="54">
        <f>IFERROR(IF(R47="","",ROUND(R47*$S$11,2)),"")</f>
        <v/>
      </c>
      <c r="T47" s="265" t="n"/>
      <c r="U47" s="46" t="n"/>
      <c r="V47" s="268" t="n"/>
      <c r="W47" s="297">
        <f>IF(COUNT($T47:$V47)=0,"",SUM($T47:$V47))</f>
        <v/>
      </c>
      <c r="X47" s="352">
        <f>IFERROR(IF(W47="","",ROUND((($T47/$T$11)*30 + ($U47/$U$11)*30 + ($V47/$V$11)*40),2)),"")</f>
        <v/>
      </c>
      <c r="Y47" s="54">
        <f>IFERROR(IF(X47="","",ROUND(X47*$Y$11,2)),"")</f>
        <v/>
      </c>
      <c r="Z47" s="55">
        <f>IFERROR(M47+S47+Y47,"")</f>
        <v/>
      </c>
      <c r="AA47" s="274">
        <f>IFERROR(VLOOKUP(Z47,'Helper(IMPORTANT!)'!$CQ$1:$CR$41,2,TRUE),"")</f>
        <v/>
      </c>
      <c r="AB47" s="170">
        <f t="array" ref="AB47">IF(AA47="", "", _xlfn.IFS(AA47&gt;=90, "A", AA47&gt;=80, "B", AA47&gt;=75, "C", AA47&gt;=65, "D", AA47&gt;=0, "E"))</f>
        <v/>
      </c>
      <c r="AD47" s="39" t="n"/>
      <c r="AG47" s="38" t="n"/>
      <c r="AH47" s="38" t="n"/>
      <c r="AI47" s="38" t="n"/>
    </row>
    <row r="48" ht="18" customHeight="1">
      <c r="A48" s="169" t="n">
        <v>36</v>
      </c>
      <c r="B48" s="442">
        <f>'INPUT DATA'!L46</f>
        <v/>
      </c>
      <c r="C48" s="673" t="n"/>
      <c r="D48" s="673" t="n"/>
      <c r="E48" s="674" t="n"/>
      <c r="F48" s="52" t="n"/>
      <c r="G48" s="49" t="n"/>
      <c r="H48" s="49" t="n"/>
      <c r="I48" s="49" t="n"/>
      <c r="J48" s="49" t="n"/>
      <c r="K48" s="48">
        <f>IF(COUNT($F48:$J48)=0,"",SUM($F48:$J48))</f>
        <v/>
      </c>
      <c r="L48" s="47">
        <f>IFERROR(IF(K48="","",ROUND(K48/$K$11*100,2)),"")</f>
        <v/>
      </c>
      <c r="M48" s="54">
        <f>IFERROR(IF(L48="","",ROUND(L48*$M$11,2)),"")</f>
        <v/>
      </c>
      <c r="N48" s="52" t="n"/>
      <c r="O48" s="49" t="n"/>
      <c r="P48" s="49" t="n"/>
      <c r="Q48" s="48">
        <f>IF(COUNT($N48:$P48)=0,"",SUM($N48:$P48))</f>
        <v/>
      </c>
      <c r="R48" s="47">
        <f>IFERROR(IF(Q48="","",ROUND(Q48/$Q$11*100,2)),"")</f>
        <v/>
      </c>
      <c r="S48" s="54">
        <f>IFERROR(IF(R48="","",ROUND(R48*$S$11,2)),"")</f>
        <v/>
      </c>
      <c r="T48" s="265" t="n"/>
      <c r="U48" s="46" t="n"/>
      <c r="V48" s="268" t="n"/>
      <c r="W48" s="297">
        <f>IF(COUNT($T48:$V48)=0,"",SUM($T48:$V48))</f>
        <v/>
      </c>
      <c r="X48" s="352">
        <f>IFERROR(IF(W48="","",ROUND((($T48/$T$11)*30 + ($U48/$U$11)*30 + ($V48/$V$11)*40),2)),"")</f>
        <v/>
      </c>
      <c r="Y48" s="54">
        <f>IFERROR(IF(X48="","",ROUND(X48*$Y$11,2)),"")</f>
        <v/>
      </c>
      <c r="Z48" s="55">
        <f>IFERROR(M48+S48+Y48,"")</f>
        <v/>
      </c>
      <c r="AA48" s="274">
        <f>IFERROR(VLOOKUP(Z48,'Helper(IMPORTANT!)'!$CQ$1:$CR$41,2,TRUE),"")</f>
        <v/>
      </c>
      <c r="AB48" s="170">
        <f t="array" ref="AB48">IF(AA48="", "", _xlfn.IFS(AA48&gt;=90, "A", AA48&gt;=80, "B", AA48&gt;=75, "C", AA48&gt;=65, "D", AA48&gt;=0, "E"))</f>
        <v/>
      </c>
      <c r="AD48" s="39" t="n"/>
      <c r="AG48" s="38" t="n"/>
      <c r="AH48" s="38" t="n"/>
      <c r="AI48" s="38" t="n"/>
    </row>
    <row r="49" ht="18" customHeight="1">
      <c r="A49" s="169" t="n">
        <v>37</v>
      </c>
      <c r="B49" s="442">
        <f>'INPUT DATA'!L47</f>
        <v/>
      </c>
      <c r="C49" s="673" t="n"/>
      <c r="D49" s="673" t="n"/>
      <c r="E49" s="674" t="n"/>
      <c r="F49" s="52" t="n"/>
      <c r="G49" s="49" t="n"/>
      <c r="H49" s="49" t="n"/>
      <c r="I49" s="49" t="n"/>
      <c r="J49" s="49" t="n"/>
      <c r="K49" s="48">
        <f>IF(COUNT($F49:$J49)=0,"",SUM($F49:$J49))</f>
        <v/>
      </c>
      <c r="L49" s="47">
        <f>IFERROR(IF(K49="","",ROUND(K49/$K$11*100,2)),"")</f>
        <v/>
      </c>
      <c r="M49" s="54">
        <f>IFERROR(IF(L49="","",ROUND(L49*$M$11,2)),"")</f>
        <v/>
      </c>
      <c r="N49" s="52" t="n"/>
      <c r="O49" s="49" t="n"/>
      <c r="P49" s="49" t="n"/>
      <c r="Q49" s="48">
        <f>IF(COUNT($N49:$P49)=0,"",SUM($N49:$P49))</f>
        <v/>
      </c>
      <c r="R49" s="47">
        <f>IFERROR(IF(Q49="","",ROUND(Q49/$Q$11*100,2)),"")</f>
        <v/>
      </c>
      <c r="S49" s="54">
        <f>IFERROR(IF(R49="","",ROUND(R49*$S$11,2)),"")</f>
        <v/>
      </c>
      <c r="T49" s="265" t="n"/>
      <c r="U49" s="46" t="n"/>
      <c r="V49" s="268" t="n"/>
      <c r="W49" s="297">
        <f>IF(COUNT($T49:$V49)=0,"",SUM($T49:$V49))</f>
        <v/>
      </c>
      <c r="X49" s="352">
        <f>IFERROR(IF(W49="","",ROUND((($T49/$T$11)*30 + ($U49/$U$11)*30 + ($V49/$V$11)*40),2)),"")</f>
        <v/>
      </c>
      <c r="Y49" s="54">
        <f>IFERROR(IF(X49="","",ROUND(X49*$Y$11,2)),"")</f>
        <v/>
      </c>
      <c r="Z49" s="55">
        <f>IFERROR(M49+S49+Y49,"")</f>
        <v/>
      </c>
      <c r="AA49" s="274">
        <f>IFERROR(VLOOKUP(Z49,'Helper(IMPORTANT!)'!$CQ$1:$CR$41,2,TRUE),"")</f>
        <v/>
      </c>
      <c r="AB49" s="170">
        <f t="array" ref="AB49">IF(AA49="", "", _xlfn.IFS(AA49&gt;=90, "A", AA49&gt;=80, "B", AA49&gt;=75, "C", AA49&gt;=65, "D", AA49&gt;=0, "E"))</f>
        <v/>
      </c>
      <c r="AD49" s="39" t="n"/>
      <c r="AG49" s="38" t="n"/>
      <c r="AH49" s="38" t="n"/>
      <c r="AI49" s="38" t="n"/>
    </row>
    <row r="50" ht="18" customHeight="1">
      <c r="A50" s="169" t="n">
        <v>38</v>
      </c>
      <c r="B50" s="442">
        <f>'INPUT DATA'!L48</f>
        <v/>
      </c>
      <c r="C50" s="673" t="n"/>
      <c r="D50" s="673" t="n"/>
      <c r="E50" s="674" t="n"/>
      <c r="F50" s="52" t="n"/>
      <c r="G50" s="49" t="n"/>
      <c r="H50" s="49" t="n"/>
      <c r="I50" s="49" t="n"/>
      <c r="J50" s="49" t="n"/>
      <c r="K50" s="48">
        <f>IF(COUNT($F50:$J50)=0,"",SUM($F50:$J50))</f>
        <v/>
      </c>
      <c r="L50" s="47">
        <f>IFERROR(IF(K50="","",ROUND(K50/$K$11*100,2)),"")</f>
        <v/>
      </c>
      <c r="M50" s="54">
        <f>IFERROR(IF(L50="","",ROUND(L50*$M$11,2)),"")</f>
        <v/>
      </c>
      <c r="N50" s="52" t="n"/>
      <c r="O50" s="49" t="n"/>
      <c r="P50" s="49" t="n"/>
      <c r="Q50" s="48">
        <f>IF(COUNT($N50:$P50)=0,"",SUM($N50:$P50))</f>
        <v/>
      </c>
      <c r="R50" s="47">
        <f>IFERROR(IF(Q50="","",ROUND(Q50/$Q$11*100,2)),"")</f>
        <v/>
      </c>
      <c r="S50" s="54">
        <f>IFERROR(IF(R50="","",ROUND(R50*$S$11,2)),"")</f>
        <v/>
      </c>
      <c r="T50" s="265" t="n"/>
      <c r="U50" s="46" t="n"/>
      <c r="V50" s="268" t="n"/>
      <c r="W50" s="297">
        <f>IF(COUNT($T50:$V50)=0,"",SUM($T50:$V50))</f>
        <v/>
      </c>
      <c r="X50" s="352">
        <f>IFERROR(IF(W50="","",ROUND((($T50/$T$11)*30 + ($U50/$U$11)*30 + ($V50/$V$11)*40),2)),"")</f>
        <v/>
      </c>
      <c r="Y50" s="54">
        <f>IFERROR(IF(X50="","",ROUND(X50*$Y$11,2)),"")</f>
        <v/>
      </c>
      <c r="Z50" s="55">
        <f>IFERROR(M50+S50+Y50,"")</f>
        <v/>
      </c>
      <c r="AA50" s="274">
        <f>IFERROR(VLOOKUP(Z50,'Helper(IMPORTANT!)'!$CQ$1:$CR$41,2,TRUE),"")</f>
        <v/>
      </c>
      <c r="AB50" s="170">
        <f t="array" ref="AB50">IF(AA50="", "", _xlfn.IFS(AA50&gt;=90, "A", AA50&gt;=80, "B", AA50&gt;=75, "C", AA50&gt;=65, "D", AA50&gt;=0, "E"))</f>
        <v/>
      </c>
      <c r="AD50" s="39" t="n"/>
      <c r="AG50" s="38" t="n"/>
      <c r="AH50" s="38" t="n"/>
      <c r="AI50" s="38" t="n"/>
    </row>
    <row r="51" ht="18" customHeight="1">
      <c r="A51" s="169" t="n">
        <v>39</v>
      </c>
      <c r="B51" s="442">
        <f>'INPUT DATA'!L49</f>
        <v/>
      </c>
      <c r="C51" s="673" t="n"/>
      <c r="D51" s="673" t="n"/>
      <c r="E51" s="674" t="n"/>
      <c r="F51" s="52" t="n"/>
      <c r="G51" s="49" t="n"/>
      <c r="H51" s="49" t="n"/>
      <c r="I51" s="49" t="n"/>
      <c r="J51" s="49" t="n"/>
      <c r="K51" s="48">
        <f>IF(COUNT($F51:$J51)=0,"",SUM($F51:$J51))</f>
        <v/>
      </c>
      <c r="L51" s="47">
        <f>IFERROR(IF(K51="","",ROUND(K51/$K$11*100,2)),"")</f>
        <v/>
      </c>
      <c r="M51" s="54">
        <f>IFERROR(IF(L51="","",ROUND(L51*$M$11,2)),"")</f>
        <v/>
      </c>
      <c r="N51" s="52" t="n"/>
      <c r="O51" s="49" t="n"/>
      <c r="P51" s="49" t="n"/>
      <c r="Q51" s="48">
        <f>IF(COUNT($N51:$P51)=0,"",SUM($N51:$P51))</f>
        <v/>
      </c>
      <c r="R51" s="47">
        <f>IFERROR(IF(Q51="","",ROUND(Q51/$Q$11*100,2)),"")</f>
        <v/>
      </c>
      <c r="S51" s="54">
        <f>IFERROR(IF(R51="","",ROUND(R51*$S$11,2)),"")</f>
        <v/>
      </c>
      <c r="T51" s="265" t="n"/>
      <c r="U51" s="46" t="n"/>
      <c r="V51" s="268" t="n"/>
      <c r="W51" s="297">
        <f>IF(COUNT($T51:$V51)=0,"",SUM($T51:$V51))</f>
        <v/>
      </c>
      <c r="X51" s="352">
        <f>IFERROR(IF(W51="","",ROUND((($T51/$T$11)*30 + ($U51/$U$11)*30 + ($V51/$V$11)*40),2)),"")</f>
        <v/>
      </c>
      <c r="Y51" s="54">
        <f>IFERROR(IF(X51="","",ROUND(X51*$Y$11,2)),"")</f>
        <v/>
      </c>
      <c r="Z51" s="55">
        <f>IFERROR(M51+S51+Y51,"")</f>
        <v/>
      </c>
      <c r="AA51" s="274">
        <f>IFERROR(VLOOKUP(Z51,'Helper(IMPORTANT!)'!$CQ$1:$CR$41,2,TRUE),"")</f>
        <v/>
      </c>
      <c r="AB51" s="170">
        <f t="array" ref="AB51">IF(AA51="", "", _xlfn.IFS(AA51&gt;=90, "A", AA51&gt;=80, "B", AA51&gt;=75, "C", AA51&gt;=65, "D", AA51&gt;=0, "E"))</f>
        <v/>
      </c>
      <c r="AD51" s="39" t="n"/>
      <c r="AG51" s="38" t="n"/>
      <c r="AH51" s="38" t="n"/>
      <c r="AI51" s="38" t="n"/>
    </row>
    <row r="52" ht="18" customHeight="1">
      <c r="A52" s="169" t="n">
        <v>40</v>
      </c>
      <c r="B52" s="442">
        <f>'INPUT DATA'!L50</f>
        <v/>
      </c>
      <c r="C52" s="673" t="n"/>
      <c r="D52" s="673" t="n"/>
      <c r="E52" s="674" t="n"/>
      <c r="F52" s="52" t="n"/>
      <c r="G52" s="49" t="n"/>
      <c r="H52" s="49" t="n"/>
      <c r="I52" s="49" t="n"/>
      <c r="J52" s="49" t="n"/>
      <c r="K52" s="48">
        <f>IF(COUNT($F52:$J52)=0,"",SUM($F52:$J52))</f>
        <v/>
      </c>
      <c r="L52" s="47">
        <f>IFERROR(IF(K52="","",ROUND(K52/$K$11*100,2)),"")</f>
        <v/>
      </c>
      <c r="M52" s="54">
        <f>IFERROR(IF(L52="","",ROUND(L52*$M$11,2)),"")</f>
        <v/>
      </c>
      <c r="N52" s="52" t="n"/>
      <c r="O52" s="49" t="n"/>
      <c r="P52" s="49" t="n"/>
      <c r="Q52" s="48">
        <f>IF(COUNT($N52:$P52)=0,"",SUM($N52:$P52))</f>
        <v/>
      </c>
      <c r="R52" s="47">
        <f>IFERROR(IF(Q52="","",ROUND(Q52/$Q$11*100,2)),"")</f>
        <v/>
      </c>
      <c r="S52" s="54">
        <f>IFERROR(IF(R52="","",ROUND(R52*$S$11,2)),"")</f>
        <v/>
      </c>
      <c r="T52" s="265" t="n"/>
      <c r="U52" s="46" t="n"/>
      <c r="V52" s="268" t="n"/>
      <c r="W52" s="297">
        <f>IF(COUNT($T52:$V52)=0,"",SUM($T52:$V52))</f>
        <v/>
      </c>
      <c r="X52" s="352">
        <f>IFERROR(IF(W52="","",ROUND((($T52/$T$11)*30 + ($U52/$U$11)*30 + ($V52/$V$11)*40),2)),"")</f>
        <v/>
      </c>
      <c r="Y52" s="54">
        <f>IFERROR(IF(X52="","",ROUND(X52*$Y$11,2)),"")</f>
        <v/>
      </c>
      <c r="Z52" s="55">
        <f>IFERROR(M52+S52+Y52,"")</f>
        <v/>
      </c>
      <c r="AA52" s="274">
        <f>IFERROR(VLOOKUP(Z52,'Helper(IMPORTANT!)'!$CQ$1:$CR$41,2,TRUE),"")</f>
        <v/>
      </c>
      <c r="AB52" s="170">
        <f t="array" ref="AB52">IF(AA52="", "", _xlfn.IFS(AA52&gt;=90, "A", AA52&gt;=80, "B", AA52&gt;=75, "C", AA52&gt;=65, "D", AA52&gt;=0, "E"))</f>
        <v/>
      </c>
      <c r="AD52" s="39" t="n"/>
      <c r="AG52" s="38" t="n"/>
      <c r="AH52" s="38" t="n"/>
      <c r="AI52" s="38" t="n"/>
    </row>
    <row r="53" ht="18" customHeight="1">
      <c r="A53" s="169" t="n">
        <v>41</v>
      </c>
      <c r="B53" s="442">
        <f>'INPUT DATA'!L51</f>
        <v/>
      </c>
      <c r="C53" s="673" t="n"/>
      <c r="D53" s="673" t="n"/>
      <c r="E53" s="674" t="n"/>
      <c r="F53" s="52" t="n"/>
      <c r="G53" s="49" t="n"/>
      <c r="H53" s="49" t="n"/>
      <c r="I53" s="49" t="n"/>
      <c r="J53" s="49" t="n"/>
      <c r="K53" s="48">
        <f>IF(COUNT($F53:$J53)=0,"",SUM($F53:$J53))</f>
        <v/>
      </c>
      <c r="L53" s="47">
        <f>IFERROR(IF(K53="","",ROUND(K53/$K$11*100,2)),"")</f>
        <v/>
      </c>
      <c r="M53" s="54">
        <f>IFERROR(IF(L53="","",ROUND(L53*$M$11,2)),"")</f>
        <v/>
      </c>
      <c r="N53" s="52" t="n"/>
      <c r="O53" s="49" t="n"/>
      <c r="P53" s="49" t="n"/>
      <c r="Q53" s="48">
        <f>IF(COUNT($N53:$P53)=0,"",SUM($N53:$P53))</f>
        <v/>
      </c>
      <c r="R53" s="47">
        <f>IFERROR(IF(Q53="","",ROUND(Q53/$Q$11*100,2)),"")</f>
        <v/>
      </c>
      <c r="S53" s="54">
        <f>IFERROR(IF(R53="","",ROUND(R53*$S$11,2)),"")</f>
        <v/>
      </c>
      <c r="T53" s="265" t="n"/>
      <c r="U53" s="46" t="n"/>
      <c r="V53" s="268" t="n"/>
      <c r="W53" s="297">
        <f>IF(COUNT($T53:$V53)=0,"",SUM($T53:$V53))</f>
        <v/>
      </c>
      <c r="X53" s="352">
        <f>IFERROR(IF(W53="","",ROUND((($T53/$T$11)*30 + ($U53/$U$11)*30 + ($V53/$V$11)*40),2)),"")</f>
        <v/>
      </c>
      <c r="Y53" s="54">
        <f>IFERROR(IF(X53="","",ROUND(X53*$Y$11,2)),"")</f>
        <v/>
      </c>
      <c r="Z53" s="55">
        <f>IFERROR(M53+S53+Y53,"")</f>
        <v/>
      </c>
      <c r="AA53" s="274">
        <f>IFERROR(VLOOKUP(Z53,'Helper(IMPORTANT!)'!$CQ$1:$CR$41,2,TRUE),"")</f>
        <v/>
      </c>
      <c r="AB53" s="170">
        <f t="array" ref="AB53">IF(AA53="", "", _xlfn.IFS(AA53&gt;=90, "A", AA53&gt;=80, "B", AA53&gt;=75, "C", AA53&gt;=65, "D", AA53&gt;=0, "E"))</f>
        <v/>
      </c>
      <c r="AD53" s="39" t="n"/>
      <c r="AG53" s="38" t="n"/>
      <c r="AH53" s="38" t="n"/>
      <c r="AI53" s="38" t="n"/>
    </row>
    <row r="54" ht="18" customHeight="1">
      <c r="A54" s="169" t="n">
        <v>42</v>
      </c>
      <c r="B54" s="442">
        <f>'INPUT DATA'!L52</f>
        <v/>
      </c>
      <c r="C54" s="673" t="n"/>
      <c r="D54" s="673" t="n"/>
      <c r="E54" s="674" t="n"/>
      <c r="F54" s="52" t="n"/>
      <c r="G54" s="49" t="n"/>
      <c r="H54" s="49" t="n"/>
      <c r="I54" s="49" t="n"/>
      <c r="J54" s="49" t="n"/>
      <c r="K54" s="48">
        <f>IF(COUNT($F54:$J54)=0,"",SUM($F54:$J54))</f>
        <v/>
      </c>
      <c r="L54" s="47">
        <f>IFERROR(IF(K54="","",ROUND(K54/$K$11*100,2)),"")</f>
        <v/>
      </c>
      <c r="M54" s="54">
        <f>IFERROR(IF(L54="","",ROUND(L54*$M$11,2)),"")</f>
        <v/>
      </c>
      <c r="N54" s="52" t="n"/>
      <c r="O54" s="49" t="n"/>
      <c r="P54" s="49" t="n"/>
      <c r="Q54" s="48">
        <f>IF(COUNT($N54:$P54)=0,"",SUM($N54:$P54))</f>
        <v/>
      </c>
      <c r="R54" s="47">
        <f>IFERROR(IF(Q54="","",ROUND(Q54/$Q$11*100,2)),"")</f>
        <v/>
      </c>
      <c r="S54" s="54">
        <f>IFERROR(IF(R54="","",ROUND(R54*$S$11,2)),"")</f>
        <v/>
      </c>
      <c r="T54" s="265" t="n"/>
      <c r="U54" s="46" t="n"/>
      <c r="V54" s="268" t="n"/>
      <c r="W54" s="297">
        <f>IF(COUNT($T54:$V54)=0,"",SUM($T54:$V54))</f>
        <v/>
      </c>
      <c r="X54" s="352">
        <f>IFERROR(IF(W54="","",ROUND((($T54/$T$11)*30 + ($U54/$U$11)*30 + ($V54/$V$11)*40),2)),"")</f>
        <v/>
      </c>
      <c r="Y54" s="54">
        <f>IFERROR(IF(X54="","",ROUND(X54*$Y$11,2)),"")</f>
        <v/>
      </c>
      <c r="Z54" s="55">
        <f>IFERROR(M54+S54+Y54,"")</f>
        <v/>
      </c>
      <c r="AA54" s="274">
        <f>IFERROR(VLOOKUP(Z54,'Helper(IMPORTANT!)'!$CQ$1:$CR$41,2,TRUE),"")</f>
        <v/>
      </c>
      <c r="AB54" s="170">
        <f t="array" ref="AB54">IF(AA54="", "", _xlfn.IFS(AA54&gt;=90, "A", AA54&gt;=80, "B", AA54&gt;=75, "C", AA54&gt;=65, "D", AA54&gt;=0, "E"))</f>
        <v/>
      </c>
      <c r="AD54" s="39" t="n"/>
      <c r="AG54" s="38" t="n"/>
      <c r="AH54" s="38" t="n"/>
      <c r="AI54" s="38" t="n"/>
    </row>
    <row r="55" ht="18" customHeight="1">
      <c r="A55" s="169" t="n">
        <v>43</v>
      </c>
      <c r="B55" s="442">
        <f>'INPUT DATA'!L53</f>
        <v/>
      </c>
      <c r="C55" s="673" t="n"/>
      <c r="D55" s="673" t="n"/>
      <c r="E55" s="674" t="n"/>
      <c r="F55" s="52" t="n"/>
      <c r="G55" s="49" t="n"/>
      <c r="H55" s="49" t="n"/>
      <c r="I55" s="49" t="n"/>
      <c r="J55" s="49" t="n"/>
      <c r="K55" s="48">
        <f>IF(COUNT($F55:$J55)=0,"",SUM($F55:$J55))</f>
        <v/>
      </c>
      <c r="L55" s="47">
        <f>IFERROR(IF(K55="","",ROUND(K55/$K$11*100,2)),"")</f>
        <v/>
      </c>
      <c r="M55" s="54">
        <f>IFERROR(IF(L55="","",ROUND(L55*$M$11,2)),"")</f>
        <v/>
      </c>
      <c r="N55" s="52" t="n"/>
      <c r="O55" s="49" t="n"/>
      <c r="P55" s="49" t="n"/>
      <c r="Q55" s="48">
        <f>IF(COUNT($N55:$P55)=0,"",SUM($N55:$P55))</f>
        <v/>
      </c>
      <c r="R55" s="47">
        <f>IFERROR(IF(Q55="","",ROUND(Q55/$Q$11*100,2)),"")</f>
        <v/>
      </c>
      <c r="S55" s="54">
        <f>IFERROR(IF(R55="","",ROUND(R55*$S$11,2)),"")</f>
        <v/>
      </c>
      <c r="T55" s="265" t="n"/>
      <c r="U55" s="46" t="n"/>
      <c r="V55" s="268" t="n"/>
      <c r="W55" s="297">
        <f>IF(COUNT($T55:$V55)=0,"",SUM($T55:$V55))</f>
        <v/>
      </c>
      <c r="X55" s="352">
        <f>IFERROR(IF(W55="","",ROUND((($T55/$T$11)*30 + ($U55/$U$11)*30 + ($V55/$V$11)*40),2)),"")</f>
        <v/>
      </c>
      <c r="Y55" s="54">
        <f>IFERROR(IF(X55="","",ROUND(X55*$Y$11,2)),"")</f>
        <v/>
      </c>
      <c r="Z55" s="55">
        <f>IFERROR(M55+S55+Y55,"")</f>
        <v/>
      </c>
      <c r="AA55" s="274">
        <f>IFERROR(VLOOKUP(Z55,'Helper(IMPORTANT!)'!$CQ$1:$CR$41,2,TRUE),"")</f>
        <v/>
      </c>
      <c r="AB55" s="170">
        <f t="array" ref="AB55">IF(AA55="", "", _xlfn.IFS(AA55&gt;=90, "A", AA55&gt;=80, "B", AA55&gt;=75, "C", AA55&gt;=65, "D", AA55&gt;=0, "E"))</f>
        <v/>
      </c>
      <c r="AD55" s="39" t="n"/>
      <c r="AG55" s="38" t="n"/>
      <c r="AH55" s="38" t="n"/>
      <c r="AI55" s="38" t="n"/>
    </row>
    <row r="56" ht="18" customHeight="1">
      <c r="A56" s="169" t="n">
        <v>44</v>
      </c>
      <c r="B56" s="442">
        <f>'INPUT DATA'!L54</f>
        <v/>
      </c>
      <c r="C56" s="673" t="n"/>
      <c r="D56" s="673" t="n"/>
      <c r="E56" s="674" t="n"/>
      <c r="F56" s="52" t="n"/>
      <c r="G56" s="49" t="n"/>
      <c r="H56" s="49" t="n"/>
      <c r="I56" s="49" t="n"/>
      <c r="J56" s="49" t="n"/>
      <c r="K56" s="48">
        <f>IF(COUNT($F56:$J56)=0,"",SUM($F56:$J56))</f>
        <v/>
      </c>
      <c r="L56" s="47">
        <f>IFERROR(IF(K56="","",ROUND(K56/$K$11*100,2)),"")</f>
        <v/>
      </c>
      <c r="M56" s="54">
        <f>IFERROR(IF(L56="","",ROUND(L56*$M$11,2)),"")</f>
        <v/>
      </c>
      <c r="N56" s="52" t="n"/>
      <c r="O56" s="49" t="n"/>
      <c r="P56" s="49" t="n"/>
      <c r="Q56" s="48">
        <f>IF(COUNT($N56:$P56)=0,"",SUM($N56:$P56))</f>
        <v/>
      </c>
      <c r="R56" s="47">
        <f>IFERROR(IF(Q56="","",ROUND(Q56/$Q$11*100,2)),"")</f>
        <v/>
      </c>
      <c r="S56" s="54">
        <f>IFERROR(IF(R56="","",ROUND(R56*$S$11,2)),"")</f>
        <v/>
      </c>
      <c r="T56" s="265" t="n"/>
      <c r="U56" s="46" t="n"/>
      <c r="V56" s="268" t="n"/>
      <c r="W56" s="297">
        <f>IF(COUNT($T56:$V56)=0,"",SUM($T56:$V56))</f>
        <v/>
      </c>
      <c r="X56" s="352">
        <f>IFERROR(IF(W56="","",ROUND((($T56/$T$11)*30 + ($U56/$U$11)*30 + ($V56/$V$11)*40),2)),"")</f>
        <v/>
      </c>
      <c r="Y56" s="54">
        <f>IFERROR(IF(X56="","",ROUND(X56*$Y$11,2)),"")</f>
        <v/>
      </c>
      <c r="Z56" s="55">
        <f>IFERROR(M56+S56+Y56,"")</f>
        <v/>
      </c>
      <c r="AA56" s="274">
        <f>IFERROR(VLOOKUP(Z56,'Helper(IMPORTANT!)'!$CQ$1:$CR$41,2,TRUE),"")</f>
        <v/>
      </c>
      <c r="AB56" s="170">
        <f t="array" ref="AB56">IF(AA56="", "", _xlfn.IFS(AA56&gt;=90, "A", AA56&gt;=80, "B", AA56&gt;=75, "C", AA56&gt;=65, "D", AA56&gt;=0, "E"))</f>
        <v/>
      </c>
      <c r="AD56" s="39" t="n"/>
      <c r="AG56" s="38" t="n"/>
      <c r="AH56" s="38" t="n"/>
      <c r="AI56" s="38" t="n"/>
    </row>
    <row r="57" ht="18" customHeight="1">
      <c r="A57" s="169" t="n">
        <v>45</v>
      </c>
      <c r="B57" s="442">
        <f>'INPUT DATA'!L55</f>
        <v/>
      </c>
      <c r="C57" s="673" t="n"/>
      <c r="D57" s="673" t="n"/>
      <c r="E57" s="674" t="n"/>
      <c r="F57" s="52" t="n"/>
      <c r="G57" s="49" t="n"/>
      <c r="H57" s="49" t="n"/>
      <c r="I57" s="49" t="n"/>
      <c r="J57" s="49" t="n"/>
      <c r="K57" s="48">
        <f>IF(COUNT($F57:$J57)=0,"",SUM($F57:$J57))</f>
        <v/>
      </c>
      <c r="L57" s="47">
        <f>IFERROR(IF(K57="","",ROUND(K57/$K$11*100,2)),"")</f>
        <v/>
      </c>
      <c r="M57" s="54">
        <f>IFERROR(IF(L57="","",ROUND(L57*$M$11,2)),"")</f>
        <v/>
      </c>
      <c r="N57" s="52" t="n"/>
      <c r="O57" s="49" t="n"/>
      <c r="P57" s="49" t="n"/>
      <c r="Q57" s="48">
        <f>IF(COUNT($N57:$P57)=0,"",SUM($N57:$P57))</f>
        <v/>
      </c>
      <c r="R57" s="47">
        <f>IFERROR(IF(Q57="","",ROUND(Q57/$Q$11*100,2)),"")</f>
        <v/>
      </c>
      <c r="S57" s="54">
        <f>IFERROR(IF(R57="","",ROUND(R57*$S$11,2)),"")</f>
        <v/>
      </c>
      <c r="T57" s="265" t="n"/>
      <c r="U57" s="46" t="n"/>
      <c r="V57" s="268" t="n"/>
      <c r="W57" s="297">
        <f>IF(COUNT($T57:$V57)=0,"",SUM($T57:$V57))</f>
        <v/>
      </c>
      <c r="X57" s="352">
        <f>IFERROR(IF(W57="","",ROUND((($T57/$T$11)*30 + ($U57/$U$11)*30 + ($V57/$V$11)*40),2)),"")</f>
        <v/>
      </c>
      <c r="Y57" s="54">
        <f>IFERROR(IF(X57="","",ROUND(X57*$Y$11,2)),"")</f>
        <v/>
      </c>
      <c r="Z57" s="55">
        <f>IFERROR(M57+S57+Y57,"")</f>
        <v/>
      </c>
      <c r="AA57" s="274">
        <f>IFERROR(VLOOKUP(Z57,'Helper(IMPORTANT!)'!$CQ$1:$CR$41,2,TRUE),"")</f>
        <v/>
      </c>
      <c r="AB57" s="170">
        <f t="array" ref="AB57">IF(AA57="", "", _xlfn.IFS(AA57&gt;=90, "A", AA57&gt;=80, "B", AA57&gt;=75, "C", AA57&gt;=65, "D", AA57&gt;=0, "E"))</f>
        <v/>
      </c>
      <c r="AD57" s="39" t="n"/>
      <c r="AG57" s="38" t="n"/>
      <c r="AH57" s="38" t="n"/>
      <c r="AI57" s="38" t="n"/>
    </row>
    <row r="58" ht="18" customHeight="1">
      <c r="A58" s="169" t="n">
        <v>46</v>
      </c>
      <c r="B58" s="442">
        <f>'INPUT DATA'!L56</f>
        <v/>
      </c>
      <c r="C58" s="673" t="n"/>
      <c r="D58" s="673" t="n"/>
      <c r="E58" s="674" t="n"/>
      <c r="F58" s="52" t="n"/>
      <c r="G58" s="49" t="n"/>
      <c r="H58" s="49" t="n"/>
      <c r="I58" s="49" t="n"/>
      <c r="J58" s="49" t="n"/>
      <c r="K58" s="48">
        <f>IF(COUNT($F58:$J58)=0,"",SUM($F58:$J58))</f>
        <v/>
      </c>
      <c r="L58" s="47">
        <f>IFERROR(IF(K58="","",ROUND(K58/$K$11*100,2)),"")</f>
        <v/>
      </c>
      <c r="M58" s="54">
        <f>IFERROR(IF(L58="","",ROUND(L58*$M$11,2)),"")</f>
        <v/>
      </c>
      <c r="N58" s="52" t="n"/>
      <c r="O58" s="49" t="n"/>
      <c r="P58" s="49" t="n"/>
      <c r="Q58" s="48">
        <f>IF(COUNT($N58:$P58)=0,"",SUM($N58:$P58))</f>
        <v/>
      </c>
      <c r="R58" s="47">
        <f>IFERROR(IF(Q58="","",ROUND(Q58/$Q$11*100,2)),"")</f>
        <v/>
      </c>
      <c r="S58" s="54">
        <f>IFERROR(IF(R58="","",ROUND(R58*$S$11,2)),"")</f>
        <v/>
      </c>
      <c r="T58" s="265" t="n"/>
      <c r="U58" s="46" t="n"/>
      <c r="V58" s="268" t="n"/>
      <c r="W58" s="297">
        <f>IF(COUNT($T58:$V58)=0,"",SUM($T58:$V58))</f>
        <v/>
      </c>
      <c r="X58" s="352">
        <f>IFERROR(IF(W58="","",ROUND((($T58/$T$11)*30 + ($U58/$U$11)*30 + ($V58/$V$11)*40),2)),"")</f>
        <v/>
      </c>
      <c r="Y58" s="54">
        <f>IFERROR(IF(X58="","",ROUND(X58*$Y$11,2)),"")</f>
        <v/>
      </c>
      <c r="Z58" s="55">
        <f>IFERROR(M58+S58+Y58,"")</f>
        <v/>
      </c>
      <c r="AA58" s="274">
        <f>IFERROR(VLOOKUP(Z58,'Helper(IMPORTANT!)'!$CQ$1:$CR$41,2,TRUE),"")</f>
        <v/>
      </c>
      <c r="AB58" s="170">
        <f t="array" ref="AB58">IF(AA58="", "", _xlfn.IFS(AA58&gt;=90, "A", AA58&gt;=80, "B", AA58&gt;=75, "C", AA58&gt;=65, "D", AA58&gt;=0, "E"))</f>
        <v/>
      </c>
      <c r="AD58" s="39" t="n"/>
      <c r="AG58" s="38" t="n"/>
      <c r="AH58" s="38" t="n"/>
      <c r="AI58" s="38" t="n"/>
    </row>
    <row r="59" ht="18" customHeight="1">
      <c r="A59" s="169" t="n">
        <v>47</v>
      </c>
      <c r="B59" s="442">
        <f>'INPUT DATA'!L57</f>
        <v/>
      </c>
      <c r="C59" s="673" t="n"/>
      <c r="D59" s="673" t="n"/>
      <c r="E59" s="674" t="n"/>
      <c r="F59" s="52" t="n"/>
      <c r="G59" s="49" t="n"/>
      <c r="H59" s="49" t="n"/>
      <c r="I59" s="49" t="n"/>
      <c r="J59" s="49" t="n"/>
      <c r="K59" s="48">
        <f>IF(COUNT($F59:$J59)=0,"",SUM($F59:$J59))</f>
        <v/>
      </c>
      <c r="L59" s="47">
        <f>IFERROR(IF(K59="","",ROUND(K59/$K$11*100,2)),"")</f>
        <v/>
      </c>
      <c r="M59" s="54">
        <f>IFERROR(IF(L59="","",ROUND(L59*$M$11,2)),"")</f>
        <v/>
      </c>
      <c r="N59" s="52" t="n"/>
      <c r="O59" s="49" t="n"/>
      <c r="P59" s="49" t="n"/>
      <c r="Q59" s="48">
        <f>IF(COUNT($N59:$P59)=0,"",SUM($N59:$P59))</f>
        <v/>
      </c>
      <c r="R59" s="47">
        <f>IFERROR(IF(Q59="","",ROUND(Q59/$Q$11*100,2)),"")</f>
        <v/>
      </c>
      <c r="S59" s="54">
        <f>IFERROR(IF(R59="","",ROUND(R59*$S$11,2)),"")</f>
        <v/>
      </c>
      <c r="T59" s="265" t="n"/>
      <c r="U59" s="46" t="n"/>
      <c r="V59" s="268" t="n"/>
      <c r="W59" s="297">
        <f>IF(COUNT($T59:$V59)=0,"",SUM($T59:$V59))</f>
        <v/>
      </c>
      <c r="X59" s="352">
        <f>IFERROR(IF(W59="","",ROUND((($T59/$T$11)*30 + ($U59/$U$11)*30 + ($V59/$V$11)*40),2)),"")</f>
        <v/>
      </c>
      <c r="Y59" s="54">
        <f>IFERROR(IF(X59="","",ROUND(X59*$Y$11,2)),"")</f>
        <v/>
      </c>
      <c r="Z59" s="55">
        <f>IFERROR(M59+S59+Y59,"")</f>
        <v/>
      </c>
      <c r="AA59" s="274">
        <f>IFERROR(VLOOKUP(Z59,'Helper(IMPORTANT!)'!$CQ$1:$CR$41,2,TRUE),"")</f>
        <v/>
      </c>
      <c r="AB59" s="170">
        <f t="array" ref="AB59">IF(AA59="", "", _xlfn.IFS(AA59&gt;=90, "A", AA59&gt;=80, "B", AA59&gt;=75, "C", AA59&gt;=65, "D", AA59&gt;=0, "E"))</f>
        <v/>
      </c>
      <c r="AD59" s="39" t="n"/>
      <c r="AG59" s="38" t="n"/>
      <c r="AH59" s="38" t="n"/>
      <c r="AI59" s="38" t="n"/>
    </row>
    <row r="60" ht="18" customHeight="1">
      <c r="A60" s="169" t="n">
        <v>48</v>
      </c>
      <c r="B60" s="442">
        <f>'INPUT DATA'!L58</f>
        <v/>
      </c>
      <c r="C60" s="673" t="n"/>
      <c r="D60" s="673" t="n"/>
      <c r="E60" s="674" t="n"/>
      <c r="F60" s="52" t="n"/>
      <c r="G60" s="49" t="n"/>
      <c r="H60" s="49" t="n"/>
      <c r="I60" s="49" t="n"/>
      <c r="J60" s="49" t="n"/>
      <c r="K60" s="48">
        <f>IF(COUNT($F60:$J60)=0,"",SUM($F60:$J60))</f>
        <v/>
      </c>
      <c r="L60" s="47">
        <f>IFERROR(IF(K60="","",ROUND(K60/$K$11*100,2)),"")</f>
        <v/>
      </c>
      <c r="M60" s="54">
        <f>IFERROR(IF(L60="","",ROUND(L60*$M$11,2)),"")</f>
        <v/>
      </c>
      <c r="N60" s="52" t="n"/>
      <c r="O60" s="49" t="n"/>
      <c r="P60" s="49" t="n"/>
      <c r="Q60" s="48">
        <f>IF(COUNT($N60:$P60)=0,"",SUM($N60:$P60))</f>
        <v/>
      </c>
      <c r="R60" s="47">
        <f>IFERROR(IF(Q60="","",ROUND(Q60/$Q$11*100,2)),"")</f>
        <v/>
      </c>
      <c r="S60" s="54">
        <f>IFERROR(IF(R60="","",ROUND(R60*$S$11,2)),"")</f>
        <v/>
      </c>
      <c r="T60" s="265" t="n"/>
      <c r="U60" s="46" t="n"/>
      <c r="V60" s="268" t="n"/>
      <c r="W60" s="297">
        <f>IF(COUNT($T60:$V60)=0,"",SUM($T60:$V60))</f>
        <v/>
      </c>
      <c r="X60" s="352">
        <f>IFERROR(IF(W60="","",ROUND((($T60/$T$11)*30 + ($U60/$U$11)*30 + ($V60/$V$11)*40),2)),"")</f>
        <v/>
      </c>
      <c r="Y60" s="54">
        <f>IFERROR(IF(X60="","",ROUND(X60*$Y$11,2)),"")</f>
        <v/>
      </c>
      <c r="Z60" s="55">
        <f>IFERROR(M60+S60+Y60,"")</f>
        <v/>
      </c>
      <c r="AA60" s="274">
        <f>IFERROR(VLOOKUP(Z60,'Helper(IMPORTANT!)'!$CQ$1:$CR$41,2,TRUE),"")</f>
        <v/>
      </c>
      <c r="AB60" s="170">
        <f t="array" ref="AB60">IF(AA60="", "", _xlfn.IFS(AA60&gt;=90, "A", AA60&gt;=80, "B", AA60&gt;=75, "C", AA60&gt;=65, "D", AA60&gt;=0, "E"))</f>
        <v/>
      </c>
      <c r="AD60" s="39" t="n"/>
      <c r="AG60" s="38" t="n"/>
      <c r="AH60" s="38" t="n"/>
      <c r="AI60" s="38" t="n"/>
    </row>
    <row r="61" ht="18" customHeight="1">
      <c r="A61" s="169" t="n">
        <v>49</v>
      </c>
      <c r="B61" s="442">
        <f>'INPUT DATA'!L59</f>
        <v/>
      </c>
      <c r="C61" s="673" t="n"/>
      <c r="D61" s="673" t="n"/>
      <c r="E61" s="674" t="n"/>
      <c r="F61" s="52" t="n"/>
      <c r="G61" s="49" t="n"/>
      <c r="H61" s="49" t="n"/>
      <c r="I61" s="49" t="n"/>
      <c r="J61" s="49" t="n"/>
      <c r="K61" s="48">
        <f>IF(COUNT($F61:$J61)=0,"",SUM($F61:$J61))</f>
        <v/>
      </c>
      <c r="L61" s="47">
        <f>IFERROR(IF(K61="","",ROUND(K61/$K$11*100,2)),"")</f>
        <v/>
      </c>
      <c r="M61" s="54">
        <f>IFERROR(IF(L61="","",ROUND(L61*$M$11,2)),"")</f>
        <v/>
      </c>
      <c r="N61" s="52" t="n"/>
      <c r="O61" s="49" t="n"/>
      <c r="P61" s="49" t="n"/>
      <c r="Q61" s="48">
        <f>IF(COUNT($N61:$P61)=0,"",SUM($N61:$P61))</f>
        <v/>
      </c>
      <c r="R61" s="47">
        <f>IFERROR(IF(Q61="","",ROUND(Q61/$Q$11*100,2)),"")</f>
        <v/>
      </c>
      <c r="S61" s="54">
        <f>IFERROR(IF(R61="","",ROUND(R61*$S$11,2)),"")</f>
        <v/>
      </c>
      <c r="T61" s="265" t="n"/>
      <c r="U61" s="46" t="n"/>
      <c r="V61" s="268" t="n"/>
      <c r="W61" s="297">
        <f>IF(COUNT($T61:$V61)=0,"",SUM($T61:$V61))</f>
        <v/>
      </c>
      <c r="X61" s="352">
        <f>IFERROR(IF(W61="","",ROUND((($T61/$T$11)*30 + ($U61/$U$11)*30 + ($V61/$V$11)*40),2)),"")</f>
        <v/>
      </c>
      <c r="Y61" s="54">
        <f>IFERROR(IF(X61="","",ROUND(X61*$Y$11,2)),"")</f>
        <v/>
      </c>
      <c r="Z61" s="55">
        <f>IFERROR(M61+S61+Y61,"")</f>
        <v/>
      </c>
      <c r="AA61" s="274">
        <f>IFERROR(VLOOKUP(Z61,'Helper(IMPORTANT!)'!$CQ$1:$CR$41,2,TRUE),"")</f>
        <v/>
      </c>
      <c r="AB61" s="170">
        <f t="array" ref="AB61">IF(AA61="", "", _xlfn.IFS(AA61&gt;=90, "A", AA61&gt;=80, "B", AA61&gt;=75, "C", AA61&gt;=65, "D", AA61&gt;=0, "E"))</f>
        <v/>
      </c>
      <c r="AD61" s="39" t="n"/>
      <c r="AG61" s="38" t="n"/>
      <c r="AH61" s="38" t="n"/>
      <c r="AI61" s="38" t="n"/>
    </row>
    <row r="62" ht="18" customHeight="1" thickBot="1">
      <c r="A62" s="171" t="n">
        <v>50</v>
      </c>
      <c r="B62" s="442">
        <f>'INPUT DATA'!L60</f>
        <v/>
      </c>
      <c r="C62" s="673" t="n"/>
      <c r="D62" s="673" t="n"/>
      <c r="E62" s="674" t="n"/>
      <c r="F62" s="173" t="n"/>
      <c r="G62" s="174" t="n"/>
      <c r="H62" s="174" t="n"/>
      <c r="I62" s="174" t="n"/>
      <c r="J62" s="174" t="n"/>
      <c r="K62" s="175">
        <f>IF(COUNT($F62:$J62)=0,"",SUM($F62:$J62))</f>
        <v/>
      </c>
      <c r="L62" s="176">
        <f>IFERROR(IF(K62="","",ROUND(K62/$K$11*100,2)),"")</f>
        <v/>
      </c>
      <c r="M62" s="177">
        <f>IFERROR(IF(L62="","",ROUND(L62*$M$11,2)),"")</f>
        <v/>
      </c>
      <c r="N62" s="173" t="n"/>
      <c r="O62" s="174" t="n"/>
      <c r="P62" s="174" t="n"/>
      <c r="Q62" s="175">
        <f>IF(COUNT($N62:$P62)=0,"",SUM($N62:$P62))</f>
        <v/>
      </c>
      <c r="R62" s="176">
        <f>IFERROR(IF(Q62="","",ROUND(Q62/$Q$11*100,2)),"")</f>
        <v/>
      </c>
      <c r="S62" s="177">
        <f>IFERROR(IF(R62="","",ROUND(R62*$S$11,2)),"")</f>
        <v/>
      </c>
      <c r="T62" s="266" t="n"/>
      <c r="U62" s="284" t="n"/>
      <c r="V62" s="269" t="n"/>
      <c r="W62" s="298">
        <f>IF(COUNT($T62:$V62)=0,"",SUM($T62:$V62))</f>
        <v/>
      </c>
      <c r="X62" s="353">
        <f>IFERROR(IF(W62="","",ROUND((($T62/$T$11)*30 + ($U62/$U$11)*30 + ($V62/$V$11)*40),2)),"")</f>
        <v/>
      </c>
      <c r="Y62" s="177">
        <f>IFERROR(IF(X62="","",ROUND(X62*$Y$11,2)),"")</f>
        <v/>
      </c>
      <c r="Z62" s="178">
        <f>IFERROR(M62+S62+Y62,"")</f>
        <v/>
      </c>
      <c r="AA62" s="286">
        <f>IFERROR(VLOOKUP(Z62,'Helper(IMPORTANT!)'!$CQ$1:$CR$41,2,TRUE),"")</f>
        <v/>
      </c>
      <c r="AB62" s="179">
        <f t="array" ref="AB62">IF(AA62="", "", _xlfn.IFS(AA62&gt;=90, "A", AA62&gt;=80, "B", AA62&gt;=75, "C", AA62&gt;=65, "D", AA62&gt;=0, "E"))</f>
        <v/>
      </c>
      <c r="AD62" s="39" t="n"/>
      <c r="AG62" s="38" t="n"/>
      <c r="AH62" s="38" t="n"/>
      <c r="AI62" s="38" t="n"/>
    </row>
    <row r="63" ht="18" customHeight="1">
      <c r="A63" s="675" t="inlineStr">
        <is>
          <t>FEMALE</t>
        </is>
      </c>
      <c r="B63" s="649" t="n"/>
      <c r="C63" s="649" t="n"/>
      <c r="D63" s="649" t="n"/>
      <c r="E63" s="649" t="n"/>
      <c r="F63" s="649" t="n"/>
      <c r="G63" s="649" t="n"/>
      <c r="H63" s="649" t="n"/>
      <c r="I63" s="649" t="n"/>
      <c r="J63" s="649" t="n"/>
      <c r="K63" s="649" t="n"/>
      <c r="L63" s="649" t="n"/>
      <c r="M63" s="649" t="n"/>
      <c r="N63" s="649" t="n"/>
      <c r="O63" s="649" t="n"/>
      <c r="P63" s="649" t="n"/>
      <c r="Q63" s="649" t="n"/>
      <c r="R63" s="649" t="n"/>
      <c r="S63" s="649" t="n"/>
      <c r="T63" s="649" t="n"/>
      <c r="U63" s="649" t="n"/>
      <c r="V63" s="649" t="n"/>
      <c r="W63" s="649" t="n"/>
      <c r="X63" s="649" t="n"/>
      <c r="Y63" s="649" t="n"/>
      <c r="Z63" s="649" t="n"/>
      <c r="AA63" s="649" t="n"/>
      <c r="AB63" s="676" t="n"/>
      <c r="AD63" s="39" t="n"/>
      <c r="AG63" s="38" t="n"/>
      <c r="AH63" s="38" t="n"/>
      <c r="AI63" s="38" t="n"/>
    </row>
    <row r="64" ht="18" customHeight="1">
      <c r="A64" s="169" t="n">
        <v>1</v>
      </c>
      <c r="B64" s="442">
        <f>'INPUT DATA'!O11</f>
        <v/>
      </c>
      <c r="C64" s="673" t="n"/>
      <c r="D64" s="673" t="n"/>
      <c r="E64" s="674" t="n"/>
      <c r="F64" s="52" t="n"/>
      <c r="G64" s="49" t="n"/>
      <c r="H64" s="49" t="n"/>
      <c r="I64" s="49" t="n"/>
      <c r="J64" s="49" t="n"/>
      <c r="K64" s="48">
        <f>IF(COUNT($F64:$J64)=0,"",SUM($F64:$J64))</f>
        <v/>
      </c>
      <c r="L64" s="47">
        <f>IFERROR(IF(K64="","",ROUND(K64/$K$11*100,2)),"")</f>
        <v/>
      </c>
      <c r="M64" s="54">
        <f>IFERROR(IF(L64="","",ROUND(L64*$M$11,2)),"")</f>
        <v/>
      </c>
      <c r="N64" s="52" t="n"/>
      <c r="O64" s="49" t="n"/>
      <c r="P64" s="49" t="n"/>
      <c r="Q64" s="48">
        <f>IF(COUNT($N64:$P64)=0,"",SUM($N64:$P64))</f>
        <v/>
      </c>
      <c r="R64" s="47">
        <f>IFERROR(IF(Q64="","",ROUND(Q64/$Q$11*100,2)),"")</f>
        <v/>
      </c>
      <c r="S64" s="54">
        <f>IFERROR(IF(R64="","",ROUND(R64*$S$11,2)),"")</f>
        <v/>
      </c>
      <c r="T64" s="265" t="n"/>
      <c r="U64" s="46" t="n"/>
      <c r="V64" s="268" t="n"/>
      <c r="W64" s="297">
        <f>IF(COUNT($T64:$V64)=0,"",SUM($T64:$V64))</f>
        <v/>
      </c>
      <c r="X64" s="352">
        <f>IFERROR(IF(W64="","",ROUND((($T64/$T$11)*30 + ($U64/$U$11)*30 + ($V64/$V$11)*40),2)),"")</f>
        <v/>
      </c>
      <c r="Y64" s="54">
        <f>IFERROR(IF(X64="","",ROUND(X64*$Y$11,2)),"")</f>
        <v/>
      </c>
      <c r="Z64" s="55">
        <f>IFERROR(M64+S64+Y64,"")</f>
        <v/>
      </c>
      <c r="AA64" s="274">
        <f>IFERROR(VLOOKUP(Z64,'Helper(IMPORTANT!)'!$CQ$1:$CR$41,2,TRUE),"")</f>
        <v/>
      </c>
      <c r="AB64" s="170">
        <f t="array" ref="AB64">IF(AA64="", "", _xlfn.IFS(AA64&gt;=90, "A", AA64&gt;=80, "B", AA64&gt;=75, "C", AA64&gt;=65, "D", AA64&gt;=0, "E"))</f>
        <v/>
      </c>
      <c r="AD64" s="39" t="n"/>
      <c r="AG64" s="38" t="n"/>
      <c r="AH64" s="38" t="n"/>
      <c r="AI64" s="38" t="n"/>
    </row>
    <row r="65" ht="18" customHeight="1">
      <c r="A65" s="169" t="n">
        <v>2</v>
      </c>
      <c r="B65" s="442">
        <f>'INPUT DATA'!O12</f>
        <v/>
      </c>
      <c r="C65" s="673" t="n"/>
      <c r="D65" s="673" t="n"/>
      <c r="E65" s="674" t="n"/>
      <c r="F65" s="52" t="n"/>
      <c r="G65" s="49" t="n"/>
      <c r="H65" s="49" t="n"/>
      <c r="I65" s="49" t="n"/>
      <c r="J65" s="49" t="n"/>
      <c r="K65" s="48">
        <f>IF(COUNT($F65:$J65)=0,"",SUM($F65:$J65))</f>
        <v/>
      </c>
      <c r="L65" s="47">
        <f>IFERROR(IF(K65="","",ROUND(K65/$K$11*100,2)),"")</f>
        <v/>
      </c>
      <c r="M65" s="54">
        <f>IFERROR(IF(L65="","",ROUND(L65*$M$11,2)),"")</f>
        <v/>
      </c>
      <c r="N65" s="52" t="n"/>
      <c r="O65" s="49" t="n"/>
      <c r="P65" s="49" t="n"/>
      <c r="Q65" s="48">
        <f>IF(COUNT($N65:$P65)=0,"",SUM($N65:$P65))</f>
        <v/>
      </c>
      <c r="R65" s="47">
        <f>IFERROR(IF(Q65="","",ROUND(Q65/$Q$11*100,2)),"")</f>
        <v/>
      </c>
      <c r="S65" s="54">
        <f>IFERROR(IF(R65="","",ROUND(R65*$S$11,2)),"")</f>
        <v/>
      </c>
      <c r="T65" s="265" t="n"/>
      <c r="U65" s="46" t="n"/>
      <c r="V65" s="268" t="n"/>
      <c r="W65" s="297">
        <f>IF(COUNT($T65:$V65)=0,"",SUM($T65:$V65))</f>
        <v/>
      </c>
      <c r="X65" s="352">
        <f>IFERROR(IF(W65="","",ROUND((($T65/$T$11)*30 + ($U65/$U$11)*30 + ($V65/$V$11)*40),2)),"")</f>
        <v/>
      </c>
      <c r="Y65" s="54">
        <f>IFERROR(IF(X65="","",ROUND(X65*$Y$11,2)),"")</f>
        <v/>
      </c>
      <c r="Z65" s="55">
        <f>IFERROR(M65+S65+Y65,"")</f>
        <v/>
      </c>
      <c r="AA65" s="274">
        <f>IFERROR(VLOOKUP(Z65,'Helper(IMPORTANT!)'!$CQ$1:$CR$41,2,TRUE),"")</f>
        <v/>
      </c>
      <c r="AB65" s="170">
        <f t="array" ref="AB65">IF(AA65="", "", _xlfn.IFS(AA65&gt;=90, "A", AA65&gt;=80, "B", AA65&gt;=75, "C", AA65&gt;=65, "D", AA65&gt;=0, "E"))</f>
        <v/>
      </c>
      <c r="AD65" s="39" t="n"/>
      <c r="AG65" s="38" t="n"/>
      <c r="AH65" s="38" t="n"/>
      <c r="AI65" s="38" t="n"/>
    </row>
    <row r="66" ht="18" customHeight="1">
      <c r="A66" s="169" t="n">
        <v>3</v>
      </c>
      <c r="B66" s="442">
        <f>'INPUT DATA'!O13</f>
        <v/>
      </c>
      <c r="C66" s="673" t="n"/>
      <c r="D66" s="673" t="n"/>
      <c r="E66" s="674" t="n"/>
      <c r="F66" s="52" t="n"/>
      <c r="G66" s="49" t="n"/>
      <c r="H66" s="49" t="n"/>
      <c r="I66" s="49" t="n"/>
      <c r="J66" s="49" t="n"/>
      <c r="K66" s="48">
        <f>IF(COUNT($F66:$J66)=0,"",SUM($F66:$J66))</f>
        <v/>
      </c>
      <c r="L66" s="47">
        <f>IFERROR(IF(K66="","",ROUND(K66/$K$11*100,2)),"")</f>
        <v/>
      </c>
      <c r="M66" s="54">
        <f>IFERROR(IF(L66="","",ROUND(L66*$M$11,2)),"")</f>
        <v/>
      </c>
      <c r="N66" s="52" t="n"/>
      <c r="O66" s="49" t="n"/>
      <c r="P66" s="49" t="n"/>
      <c r="Q66" s="48">
        <f>IF(COUNT($N66:$P66)=0,"",SUM($N66:$P66))</f>
        <v/>
      </c>
      <c r="R66" s="47">
        <f>IFERROR(IF(Q66="","",ROUND(Q66/$Q$11*100,2)),"")</f>
        <v/>
      </c>
      <c r="S66" s="54">
        <f>IFERROR(IF(R66="","",ROUND(R66*$S$11,2)),"")</f>
        <v/>
      </c>
      <c r="T66" s="265" t="n"/>
      <c r="U66" s="46" t="n"/>
      <c r="V66" s="268" t="n"/>
      <c r="W66" s="297">
        <f>IF(COUNT($T66:$V66)=0,"",SUM($T66:$V66))</f>
        <v/>
      </c>
      <c r="X66" s="352">
        <f>IFERROR(IF(W66="","",ROUND((($T66/$T$11)*30 + ($U66/$U$11)*30 + ($V66/$V$11)*40),2)),"")</f>
        <v/>
      </c>
      <c r="Y66" s="54">
        <f>IFERROR(IF(X66="","",ROUND(X66*$Y$11,2)),"")</f>
        <v/>
      </c>
      <c r="Z66" s="55">
        <f>IFERROR(M66+S66+Y66,"")</f>
        <v/>
      </c>
      <c r="AA66" s="274">
        <f>IFERROR(VLOOKUP(Z66,'Helper(IMPORTANT!)'!$CQ$1:$CR$41,2,TRUE),"")</f>
        <v/>
      </c>
      <c r="AB66" s="170">
        <f t="array" ref="AB66">IF(AA66="", "", _xlfn.IFS(AA66&gt;=90, "A", AA66&gt;=80, "B", AA66&gt;=75, "C", AA66&gt;=65, "D", AA66&gt;=0, "E"))</f>
        <v/>
      </c>
      <c r="AD66" s="39" t="n"/>
      <c r="AG66" s="38" t="n"/>
      <c r="AH66" s="38" t="n"/>
      <c r="AI66" s="38" t="n"/>
    </row>
    <row r="67" ht="18" customHeight="1">
      <c r="A67" s="169" t="n">
        <v>4</v>
      </c>
      <c r="B67" s="442">
        <f>'INPUT DATA'!O14</f>
        <v/>
      </c>
      <c r="C67" s="673" t="n"/>
      <c r="D67" s="673" t="n"/>
      <c r="E67" s="674" t="n"/>
      <c r="F67" s="52" t="n"/>
      <c r="G67" s="49" t="n"/>
      <c r="H67" s="49" t="n"/>
      <c r="I67" s="49" t="n"/>
      <c r="J67" s="49" t="n"/>
      <c r="K67" s="48">
        <f>IF(COUNT($F67:$J67)=0,"",SUM($F67:$J67))</f>
        <v/>
      </c>
      <c r="L67" s="47">
        <f>IFERROR(IF(K67="","",ROUND(K67/$K$11*100,2)),"")</f>
        <v/>
      </c>
      <c r="M67" s="54">
        <f>IFERROR(IF(L67="","",ROUND(L67*$M$11,2)),"")</f>
        <v/>
      </c>
      <c r="N67" s="52" t="n"/>
      <c r="O67" s="49" t="n"/>
      <c r="P67" s="49" t="n"/>
      <c r="Q67" s="48">
        <f>IF(COUNT($N67:$P67)=0,"",SUM($N67:$P67))</f>
        <v/>
      </c>
      <c r="R67" s="47">
        <f>IFERROR(IF(Q67="","",ROUND(Q67/$Q$11*100,2)),"")</f>
        <v/>
      </c>
      <c r="S67" s="54">
        <f>IFERROR(IF(R67="","",ROUND(R67*$S$11,2)),"")</f>
        <v/>
      </c>
      <c r="T67" s="265" t="n"/>
      <c r="U67" s="46" t="n"/>
      <c r="V67" s="268" t="n"/>
      <c r="W67" s="297">
        <f>IF(COUNT($T67:$V67)=0,"",SUM($T67:$V67))</f>
        <v/>
      </c>
      <c r="X67" s="352">
        <f>IFERROR(IF(W67="","",ROUND((($T67/$T$11)*30 + ($U67/$U$11)*30 + ($V67/$V$11)*40),2)),"")</f>
        <v/>
      </c>
      <c r="Y67" s="54">
        <f>IFERROR(IF(X67="","",ROUND(X67*$Y$11,2)),"")</f>
        <v/>
      </c>
      <c r="Z67" s="55">
        <f>IFERROR(M67+S67+Y67,"")</f>
        <v/>
      </c>
      <c r="AA67" s="274">
        <f>IFERROR(VLOOKUP(Z67,'Helper(IMPORTANT!)'!$CQ$1:$CR$41,2,TRUE),"")</f>
        <v/>
      </c>
      <c r="AB67" s="170">
        <f t="array" ref="AB67">IF(AA67="", "", _xlfn.IFS(AA67&gt;=90, "A", AA67&gt;=80, "B", AA67&gt;=75, "C", AA67&gt;=65, "D", AA67&gt;=0, "E"))</f>
        <v/>
      </c>
      <c r="AD67" s="39" t="n"/>
      <c r="AG67" s="38" t="n"/>
      <c r="AH67" s="38" t="n"/>
      <c r="AI67" s="38" t="n"/>
    </row>
    <row r="68" ht="18" customHeight="1">
      <c r="A68" s="169" t="n">
        <v>5</v>
      </c>
      <c r="B68" s="442">
        <f>'INPUT DATA'!O15</f>
        <v/>
      </c>
      <c r="C68" s="673" t="n"/>
      <c r="D68" s="673" t="n"/>
      <c r="E68" s="674" t="n"/>
      <c r="F68" s="52" t="n"/>
      <c r="G68" s="49" t="n"/>
      <c r="H68" s="49" t="n"/>
      <c r="I68" s="49" t="n"/>
      <c r="J68" s="49" t="n"/>
      <c r="K68" s="48">
        <f>IF(COUNT($F68:$J68)=0,"",SUM($F68:$J68))</f>
        <v/>
      </c>
      <c r="L68" s="47">
        <f>IFERROR(IF(K68="","",ROUND(K68/$K$11*100,2)),"")</f>
        <v/>
      </c>
      <c r="M68" s="54">
        <f>IFERROR(IF(L68="","",ROUND(L68*$M$11,2)),"")</f>
        <v/>
      </c>
      <c r="N68" s="52" t="n"/>
      <c r="O68" s="49" t="n"/>
      <c r="P68" s="49" t="n"/>
      <c r="Q68" s="48">
        <f>IF(COUNT($N68:$P68)=0,"",SUM($N68:$P68))</f>
        <v/>
      </c>
      <c r="R68" s="47">
        <f>IFERROR(IF(Q68="","",ROUND(Q68/$Q$11*100,2)),"")</f>
        <v/>
      </c>
      <c r="S68" s="54">
        <f>IFERROR(IF(R68="","",ROUND(R68*$S$11,2)),"")</f>
        <v/>
      </c>
      <c r="T68" s="265" t="n"/>
      <c r="U68" s="46" t="n"/>
      <c r="V68" s="268" t="n"/>
      <c r="W68" s="297">
        <f>IF(COUNT($T68:$V68)=0,"",SUM($T68:$V68))</f>
        <v/>
      </c>
      <c r="X68" s="352">
        <f>IFERROR(IF(W68="","",ROUND((($T68/$T$11)*30 + ($U68/$U$11)*30 + ($V68/$V$11)*40),2)),"")</f>
        <v/>
      </c>
      <c r="Y68" s="54">
        <f>IFERROR(IF(X68="","",ROUND(X68*$Y$11,2)),"")</f>
        <v/>
      </c>
      <c r="Z68" s="55">
        <f>IFERROR(M68+S68+Y68,"")</f>
        <v/>
      </c>
      <c r="AA68" s="274">
        <f>IFERROR(VLOOKUP(Z68,'Helper(IMPORTANT!)'!$CQ$1:$CR$41,2,TRUE),"")</f>
        <v/>
      </c>
      <c r="AB68" s="170">
        <f t="array" ref="AB68">IF(AA68="", "", _xlfn.IFS(AA68&gt;=90, "A", AA68&gt;=80, "B", AA68&gt;=75, "C", AA68&gt;=65, "D", AA68&gt;=0, "E"))</f>
        <v/>
      </c>
      <c r="AD68" s="39" t="n"/>
      <c r="AG68" s="38" t="n"/>
      <c r="AH68" s="38" t="n"/>
      <c r="AI68" s="38" t="n"/>
    </row>
    <row r="69" ht="18" customHeight="1">
      <c r="A69" s="169" t="n">
        <v>6</v>
      </c>
      <c r="B69" s="442">
        <f>'INPUT DATA'!O16</f>
        <v/>
      </c>
      <c r="C69" s="673" t="n"/>
      <c r="D69" s="673" t="n"/>
      <c r="E69" s="674" t="n"/>
      <c r="F69" s="52" t="n"/>
      <c r="G69" s="49" t="n"/>
      <c r="H69" s="49" t="n"/>
      <c r="I69" s="49" t="n"/>
      <c r="J69" s="49" t="n"/>
      <c r="K69" s="48">
        <f>IF(COUNT($F69:$J69)=0,"",SUM($F69:$J69))</f>
        <v/>
      </c>
      <c r="L69" s="47">
        <f>IFERROR(IF(K69="","",ROUND(K69/$K$11*100,2)),"")</f>
        <v/>
      </c>
      <c r="M69" s="54">
        <f>IFERROR(IF(L69="","",ROUND(L69*$M$11,2)),"")</f>
        <v/>
      </c>
      <c r="N69" s="52" t="n"/>
      <c r="O69" s="49" t="n"/>
      <c r="P69" s="49" t="n"/>
      <c r="Q69" s="48">
        <f>IF(COUNT($N69:$P69)=0,"",SUM($N69:$P69))</f>
        <v/>
      </c>
      <c r="R69" s="47">
        <f>IFERROR(IF(Q69="","",ROUND(Q69/$Q$11*100,2)),"")</f>
        <v/>
      </c>
      <c r="S69" s="54">
        <f>IFERROR(IF(R69="","",ROUND(R69*$S$11,2)),"")</f>
        <v/>
      </c>
      <c r="T69" s="265" t="n"/>
      <c r="U69" s="46" t="n"/>
      <c r="V69" s="268" t="n"/>
      <c r="W69" s="297">
        <f>IF(COUNT($T69:$V69)=0,"",SUM($T69:$V69))</f>
        <v/>
      </c>
      <c r="X69" s="352">
        <f>IFERROR(IF(W69="","",ROUND((($T69/$T$11)*30 + ($U69/$U$11)*30 + ($V69/$V$11)*40),2)),"")</f>
        <v/>
      </c>
      <c r="Y69" s="54">
        <f>IFERROR(IF(X69="","",ROUND(X69*$Y$11,2)),"")</f>
        <v/>
      </c>
      <c r="Z69" s="55">
        <f>IFERROR(M69+S69+Y69,"")</f>
        <v/>
      </c>
      <c r="AA69" s="274">
        <f>IFERROR(VLOOKUP(Z69,'Helper(IMPORTANT!)'!$CQ$1:$CR$41,2,TRUE),"")</f>
        <v/>
      </c>
      <c r="AB69" s="170">
        <f t="array" ref="AB69">IF(AA69="", "", _xlfn.IFS(AA69&gt;=90, "A", AA69&gt;=80, "B", AA69&gt;=75, "C", AA69&gt;=65, "D", AA69&gt;=0, "E"))</f>
        <v/>
      </c>
      <c r="AD69" s="39" t="n"/>
      <c r="AG69" s="38" t="n"/>
      <c r="AH69" s="38" t="n"/>
      <c r="AI69" s="38" t="n"/>
    </row>
    <row r="70" ht="18" customHeight="1">
      <c r="A70" s="169" t="n">
        <v>7</v>
      </c>
      <c r="B70" s="442">
        <f>'INPUT DATA'!O17</f>
        <v/>
      </c>
      <c r="C70" s="673" t="n"/>
      <c r="D70" s="673" t="n"/>
      <c r="E70" s="674" t="n"/>
      <c r="F70" s="52" t="n"/>
      <c r="G70" s="49" t="n"/>
      <c r="H70" s="49" t="n"/>
      <c r="I70" s="49" t="n"/>
      <c r="J70" s="49" t="n"/>
      <c r="K70" s="48">
        <f>IF(COUNT($F70:$J70)=0,"",SUM($F70:$J70))</f>
        <v/>
      </c>
      <c r="L70" s="47">
        <f>IFERROR(IF(K70="","",ROUND(K70/$K$11*100,2)),"")</f>
        <v/>
      </c>
      <c r="M70" s="54">
        <f>IFERROR(IF(L70="","",ROUND(L70*$M$11,2)),"")</f>
        <v/>
      </c>
      <c r="N70" s="52" t="n"/>
      <c r="O70" s="49" t="n"/>
      <c r="P70" s="49" t="n"/>
      <c r="Q70" s="48">
        <f>IF(COUNT($N70:$P70)=0,"",SUM($N70:$P70))</f>
        <v/>
      </c>
      <c r="R70" s="47">
        <f>IFERROR(IF(Q70="","",ROUND(Q70/$Q$11*100,2)),"")</f>
        <v/>
      </c>
      <c r="S70" s="54">
        <f>IFERROR(IF(R70="","",ROUND(R70*$S$11,2)),"")</f>
        <v/>
      </c>
      <c r="T70" s="265" t="n"/>
      <c r="U70" s="46" t="n"/>
      <c r="V70" s="268" t="n"/>
      <c r="W70" s="297">
        <f>IF(COUNT($T70:$V70)=0,"",SUM($T70:$V70))</f>
        <v/>
      </c>
      <c r="X70" s="352">
        <f>IFERROR(IF(W70="","",ROUND((($T70/$T$11)*30 + ($U70/$U$11)*30 + ($V70/$V$11)*40),2)),"")</f>
        <v/>
      </c>
      <c r="Y70" s="54">
        <f>IFERROR(IF(X70="","",ROUND(X70*$Y$11,2)),"")</f>
        <v/>
      </c>
      <c r="Z70" s="55">
        <f>IFERROR(M70+S70+Y70,"")</f>
        <v/>
      </c>
      <c r="AA70" s="274">
        <f>IFERROR(VLOOKUP(Z70,'Helper(IMPORTANT!)'!$CQ$1:$CR$41,2,TRUE),"")</f>
        <v/>
      </c>
      <c r="AB70" s="170">
        <f t="array" ref="AB70">IF(AA70="", "", _xlfn.IFS(AA70&gt;=90, "A", AA70&gt;=80, "B", AA70&gt;=75, "C", AA70&gt;=65, "D", AA70&gt;=0, "E"))</f>
        <v/>
      </c>
      <c r="AD70" s="39" t="n"/>
      <c r="AG70" s="38" t="n"/>
      <c r="AH70" s="38" t="n"/>
      <c r="AI70" s="38" t="n"/>
    </row>
    <row r="71" ht="18" customHeight="1">
      <c r="A71" s="169" t="n">
        <v>8</v>
      </c>
      <c r="B71" s="442">
        <f>'INPUT DATA'!O18</f>
        <v/>
      </c>
      <c r="C71" s="673" t="n"/>
      <c r="D71" s="673" t="n"/>
      <c r="E71" s="674" t="n"/>
      <c r="F71" s="52" t="n"/>
      <c r="G71" s="49" t="n"/>
      <c r="H71" s="49" t="n"/>
      <c r="I71" s="49" t="n"/>
      <c r="J71" s="49" t="n"/>
      <c r="K71" s="48">
        <f>IF(COUNT($F71:$J71)=0,"",SUM($F71:$J71))</f>
        <v/>
      </c>
      <c r="L71" s="47">
        <f>IFERROR(IF(K71="","",ROUND(K71/$K$11*100,2)),"")</f>
        <v/>
      </c>
      <c r="M71" s="54">
        <f>IFERROR(IF(L71="","",ROUND(L71*$M$11,2)),"")</f>
        <v/>
      </c>
      <c r="N71" s="52" t="n"/>
      <c r="O71" s="49" t="n"/>
      <c r="P71" s="49" t="n"/>
      <c r="Q71" s="48">
        <f>IF(COUNT($N71:$P71)=0,"",SUM($N71:$P71))</f>
        <v/>
      </c>
      <c r="R71" s="47">
        <f>IFERROR(IF(Q71="","",ROUND(Q71/$Q$11*100,2)),"")</f>
        <v/>
      </c>
      <c r="S71" s="54">
        <f>IFERROR(IF(R71="","",ROUND(R71*$S$11,2)),"")</f>
        <v/>
      </c>
      <c r="T71" s="265" t="n"/>
      <c r="U71" s="46" t="n"/>
      <c r="V71" s="268" t="n"/>
      <c r="W71" s="297">
        <f>IF(COUNT($T71:$V71)=0,"",SUM($T71:$V71))</f>
        <v/>
      </c>
      <c r="X71" s="352">
        <f>IFERROR(IF(W71="","",ROUND((($T71/$T$11)*30 + ($U71/$U$11)*30 + ($V71/$V$11)*40),2)),"")</f>
        <v/>
      </c>
      <c r="Y71" s="54">
        <f>IFERROR(IF(X71="","",ROUND(X71*$Y$11,2)),"")</f>
        <v/>
      </c>
      <c r="Z71" s="55">
        <f>IFERROR(M71+S71+Y71,"")</f>
        <v/>
      </c>
      <c r="AA71" s="274">
        <f>IFERROR(VLOOKUP(Z71,'Helper(IMPORTANT!)'!$CQ$1:$CR$41,2,TRUE),"")</f>
        <v/>
      </c>
      <c r="AB71" s="170">
        <f t="array" ref="AB71">IF(AA71="", "", _xlfn.IFS(AA71&gt;=90, "A", AA71&gt;=80, "B", AA71&gt;=75, "C", AA71&gt;=65, "D", AA71&gt;=0, "E"))</f>
        <v/>
      </c>
      <c r="AD71" s="39" t="n"/>
      <c r="AG71" s="38" t="n"/>
      <c r="AH71" s="38" t="n"/>
      <c r="AI71" s="38" t="n"/>
    </row>
    <row r="72" ht="18" customHeight="1">
      <c r="A72" s="169" t="n">
        <v>9</v>
      </c>
      <c r="B72" s="442">
        <f>'INPUT DATA'!O19</f>
        <v/>
      </c>
      <c r="C72" s="673" t="n"/>
      <c r="D72" s="673" t="n"/>
      <c r="E72" s="674" t="n"/>
      <c r="F72" s="52" t="n"/>
      <c r="G72" s="49" t="n"/>
      <c r="H72" s="49" t="n"/>
      <c r="I72" s="49" t="n"/>
      <c r="J72" s="49" t="n"/>
      <c r="K72" s="48">
        <f>IF(COUNT($F72:$J72)=0,"",SUM($F72:$J72))</f>
        <v/>
      </c>
      <c r="L72" s="47">
        <f>IFERROR(IF(K72="","",ROUND(K72/$K$11*100,2)),"")</f>
        <v/>
      </c>
      <c r="M72" s="54">
        <f>IFERROR(IF(L72="","",ROUND(L72*$M$11,2)),"")</f>
        <v/>
      </c>
      <c r="N72" s="52" t="n"/>
      <c r="O72" s="49" t="n"/>
      <c r="P72" s="49" t="n"/>
      <c r="Q72" s="48">
        <f>IF(COUNT($N72:$P72)=0,"",SUM($N72:$P72))</f>
        <v/>
      </c>
      <c r="R72" s="47">
        <f>IFERROR(IF(Q72="","",ROUND(Q72/$Q$11*100,2)),"")</f>
        <v/>
      </c>
      <c r="S72" s="54">
        <f>IFERROR(IF(R72="","",ROUND(R72*$S$11,2)),"")</f>
        <v/>
      </c>
      <c r="T72" s="265" t="n"/>
      <c r="U72" s="46" t="n"/>
      <c r="V72" s="268" t="n"/>
      <c r="W72" s="297">
        <f>IF(COUNT($T72:$V72)=0,"",SUM($T72:$V72))</f>
        <v/>
      </c>
      <c r="X72" s="352">
        <f>IFERROR(IF(W72="","",ROUND((($T72/$T$11)*30 + ($U72/$U$11)*30 + ($V72/$V$11)*40),2)),"")</f>
        <v/>
      </c>
      <c r="Y72" s="54">
        <f>IFERROR(IF(X72="","",ROUND(X72*$Y$11,2)),"")</f>
        <v/>
      </c>
      <c r="Z72" s="55">
        <f>IFERROR(M72+S72+Y72,"")</f>
        <v/>
      </c>
      <c r="AA72" s="274">
        <f>IFERROR(VLOOKUP(Z72,'Helper(IMPORTANT!)'!$CQ$1:$CR$41,2,TRUE),"")</f>
        <v/>
      </c>
      <c r="AB72" s="170">
        <f t="array" ref="AB72">IF(AA72="", "", _xlfn.IFS(AA72&gt;=90, "A", AA72&gt;=80, "B", AA72&gt;=75, "C", AA72&gt;=65, "D", AA72&gt;=0, "E"))</f>
        <v/>
      </c>
      <c r="AD72" s="39" t="n"/>
      <c r="AG72" s="38" t="n"/>
      <c r="AH72" s="38" t="n"/>
      <c r="AI72" s="38" t="n"/>
    </row>
    <row r="73" ht="18" customHeight="1">
      <c r="A73" s="169" t="n">
        <v>10</v>
      </c>
      <c r="B73" s="442">
        <f>'INPUT DATA'!O20</f>
        <v/>
      </c>
      <c r="C73" s="673" t="n"/>
      <c r="D73" s="673" t="n"/>
      <c r="E73" s="674" t="n"/>
      <c r="F73" s="52" t="n"/>
      <c r="G73" s="49" t="n"/>
      <c r="H73" s="49" t="n"/>
      <c r="I73" s="49" t="n"/>
      <c r="J73" s="49" t="n"/>
      <c r="K73" s="48">
        <f>IF(COUNT($F73:$J73)=0,"",SUM($F73:$J73))</f>
        <v/>
      </c>
      <c r="L73" s="47">
        <f>IFERROR(IF(K73="","",ROUND(K73/$K$11*100,2)),"")</f>
        <v/>
      </c>
      <c r="M73" s="54">
        <f>IFERROR(IF(L73="","",ROUND(L73*$M$11,2)),"")</f>
        <v/>
      </c>
      <c r="N73" s="52" t="n"/>
      <c r="O73" s="49" t="n"/>
      <c r="P73" s="49" t="n"/>
      <c r="Q73" s="48">
        <f>IF(COUNT($N73:$P73)=0,"",SUM($N73:$P73))</f>
        <v/>
      </c>
      <c r="R73" s="47">
        <f>IFERROR(IF(Q73="","",ROUND(Q73/$Q$11*100,2)),"")</f>
        <v/>
      </c>
      <c r="S73" s="54">
        <f>IFERROR(IF(R73="","",ROUND(R73*$S$11,2)),"")</f>
        <v/>
      </c>
      <c r="T73" s="265" t="n"/>
      <c r="U73" s="46" t="n"/>
      <c r="V73" s="268" t="n"/>
      <c r="W73" s="297">
        <f>IF(COUNT($T73:$V73)=0,"",SUM($T73:$V73))</f>
        <v/>
      </c>
      <c r="X73" s="352">
        <f>IFERROR(IF(W73="","",ROUND((($T73/$T$11)*30 + ($U73/$U$11)*30 + ($V73/$V$11)*40),2)),"")</f>
        <v/>
      </c>
      <c r="Y73" s="54">
        <f>IFERROR(IF(X73="","",ROUND(X73*$Y$11,2)),"")</f>
        <v/>
      </c>
      <c r="Z73" s="55">
        <f>IFERROR(M73+S73+Y73,"")</f>
        <v/>
      </c>
      <c r="AA73" s="274">
        <f>IFERROR(VLOOKUP(Z73,'Helper(IMPORTANT!)'!$CQ$1:$CR$41,2,TRUE),"")</f>
        <v/>
      </c>
      <c r="AB73" s="170">
        <f t="array" ref="AB73">IF(AA73="", "", _xlfn.IFS(AA73&gt;=90, "A", AA73&gt;=80, "B", AA73&gt;=75, "C", AA73&gt;=65, "D", AA73&gt;=0, "E"))</f>
        <v/>
      </c>
      <c r="AD73" s="39" t="n"/>
      <c r="AG73" s="38" t="n"/>
      <c r="AH73" s="38" t="n"/>
      <c r="AI73" s="38" t="n"/>
    </row>
    <row r="74" ht="18" customHeight="1">
      <c r="A74" s="169" t="n">
        <v>11</v>
      </c>
      <c r="B74" s="442">
        <f>'INPUT DATA'!O21</f>
        <v/>
      </c>
      <c r="C74" s="673" t="n"/>
      <c r="D74" s="673" t="n"/>
      <c r="E74" s="674" t="n"/>
      <c r="F74" s="52" t="n"/>
      <c r="G74" s="49" t="n"/>
      <c r="H74" s="49" t="n"/>
      <c r="I74" s="49" t="n"/>
      <c r="J74" s="49" t="n"/>
      <c r="K74" s="48">
        <f>IF(COUNT($F74:$J74)=0,"",SUM($F74:$J74))</f>
        <v/>
      </c>
      <c r="L74" s="47">
        <f>IFERROR(IF(K74="","",ROUND(K74/$K$11*100,2)),"")</f>
        <v/>
      </c>
      <c r="M74" s="54">
        <f>IFERROR(IF(L74="","",ROUND(L74*$M$11,2)),"")</f>
        <v/>
      </c>
      <c r="N74" s="52" t="n"/>
      <c r="O74" s="49" t="n"/>
      <c r="P74" s="49" t="n"/>
      <c r="Q74" s="48">
        <f>IF(COUNT($N74:$P74)=0,"",SUM($N74:$P74))</f>
        <v/>
      </c>
      <c r="R74" s="47">
        <f>IFERROR(IF(Q74="","",ROUND(Q74/$Q$11*100,2)),"")</f>
        <v/>
      </c>
      <c r="S74" s="54">
        <f>IFERROR(IF(R74="","",ROUND(R74*$S$11,2)),"")</f>
        <v/>
      </c>
      <c r="T74" s="265" t="n"/>
      <c r="U74" s="46" t="n"/>
      <c r="V74" s="268" t="n"/>
      <c r="W74" s="297">
        <f>IF(COUNT($T74:$V74)=0,"",SUM($T74:$V74))</f>
        <v/>
      </c>
      <c r="X74" s="352">
        <f>IFERROR(IF(W74="","",ROUND((($T74/$T$11)*30 + ($U74/$U$11)*30 + ($V74/$V$11)*40),2)),"")</f>
        <v/>
      </c>
      <c r="Y74" s="54">
        <f>IFERROR(IF(X74="","",ROUND(X74*$Y$11,2)),"")</f>
        <v/>
      </c>
      <c r="Z74" s="55">
        <f>IFERROR(M74+S74+Y74,"")</f>
        <v/>
      </c>
      <c r="AA74" s="274">
        <f>IFERROR(VLOOKUP(Z74,'Helper(IMPORTANT!)'!$CQ$1:$CR$41,2,TRUE),"")</f>
        <v/>
      </c>
      <c r="AB74" s="170">
        <f t="array" ref="AB74">IF(AA74="", "", _xlfn.IFS(AA74&gt;=90, "A", AA74&gt;=80, "B", AA74&gt;=75, "C", AA74&gt;=65, "D", AA74&gt;=0, "E"))</f>
        <v/>
      </c>
      <c r="AD74" s="39" t="n"/>
      <c r="AG74" s="38" t="n"/>
      <c r="AH74" s="38" t="n"/>
      <c r="AI74" s="38" t="n"/>
    </row>
    <row r="75" ht="18" customHeight="1">
      <c r="A75" s="169" t="n">
        <v>12</v>
      </c>
      <c r="B75" s="442">
        <f>'INPUT DATA'!O22</f>
        <v/>
      </c>
      <c r="C75" s="673" t="n"/>
      <c r="D75" s="673" t="n"/>
      <c r="E75" s="674" t="n"/>
      <c r="F75" s="52" t="n"/>
      <c r="G75" s="49" t="n"/>
      <c r="H75" s="49" t="n"/>
      <c r="I75" s="49" t="n"/>
      <c r="J75" s="49" t="n"/>
      <c r="K75" s="48">
        <f>IF(COUNT($F75:$J75)=0,"",SUM($F75:$J75))</f>
        <v/>
      </c>
      <c r="L75" s="47">
        <f>IFERROR(IF(K75="","",ROUND(K75/$K$11*100,2)),"")</f>
        <v/>
      </c>
      <c r="M75" s="54">
        <f>IFERROR(IF(L75="","",ROUND(L75*$M$11,2)),"")</f>
        <v/>
      </c>
      <c r="N75" s="52" t="n"/>
      <c r="O75" s="49" t="n"/>
      <c r="P75" s="49" t="n"/>
      <c r="Q75" s="48">
        <f>IF(COUNT($N75:$P75)=0,"",SUM($N75:$P75))</f>
        <v/>
      </c>
      <c r="R75" s="47">
        <f>IFERROR(IF(Q75="","",ROUND(Q75/$Q$11*100,2)),"")</f>
        <v/>
      </c>
      <c r="S75" s="54">
        <f>IFERROR(IF(R75="","",ROUND(R75*$S$11,2)),"")</f>
        <v/>
      </c>
      <c r="T75" s="265" t="n"/>
      <c r="U75" s="46" t="n"/>
      <c r="V75" s="268" t="n"/>
      <c r="W75" s="297">
        <f>IF(COUNT($T75:$V75)=0,"",SUM($T75:$V75))</f>
        <v/>
      </c>
      <c r="X75" s="352">
        <f>IFERROR(IF(W75="","",ROUND((($T75/$T$11)*30 + ($U75/$U$11)*30 + ($V75/$V$11)*40),2)),"")</f>
        <v/>
      </c>
      <c r="Y75" s="54">
        <f>IFERROR(IF(X75="","",ROUND(X75*$Y$11,2)),"")</f>
        <v/>
      </c>
      <c r="Z75" s="55">
        <f>IFERROR(M75+S75+Y75,"")</f>
        <v/>
      </c>
      <c r="AA75" s="274">
        <f>IFERROR(VLOOKUP(Z75,'Helper(IMPORTANT!)'!$CQ$1:$CR$41,2,TRUE),"")</f>
        <v/>
      </c>
      <c r="AB75" s="170">
        <f t="array" ref="AB75">IF(AA75="", "", _xlfn.IFS(AA75&gt;=90, "A", AA75&gt;=80, "B", AA75&gt;=75, "C", AA75&gt;=65, "D", AA75&gt;=0, "E"))</f>
        <v/>
      </c>
      <c r="AD75" s="39" t="n"/>
      <c r="AG75" s="38" t="n"/>
      <c r="AH75" s="38" t="n"/>
      <c r="AI75" s="38" t="n"/>
    </row>
    <row r="76" ht="18" customHeight="1">
      <c r="A76" s="169" t="n">
        <v>13</v>
      </c>
      <c r="B76" s="442">
        <f>'INPUT DATA'!O23</f>
        <v/>
      </c>
      <c r="C76" s="673" t="n"/>
      <c r="D76" s="673" t="n"/>
      <c r="E76" s="674" t="n"/>
      <c r="F76" s="52" t="n"/>
      <c r="G76" s="49" t="n"/>
      <c r="H76" s="49" t="n"/>
      <c r="I76" s="49" t="n"/>
      <c r="J76" s="49" t="n"/>
      <c r="K76" s="48">
        <f>IF(COUNT($F76:$J76)=0,"",SUM($F76:$J76))</f>
        <v/>
      </c>
      <c r="L76" s="47">
        <f>IFERROR(IF(K76="","",ROUND(K76/$K$11*100,2)),"")</f>
        <v/>
      </c>
      <c r="M76" s="54">
        <f>IFERROR(IF(L76="","",ROUND(L76*$M$11,2)),"")</f>
        <v/>
      </c>
      <c r="N76" s="52" t="n"/>
      <c r="O76" s="49" t="n"/>
      <c r="P76" s="49" t="n"/>
      <c r="Q76" s="48">
        <f>IF(COUNT($N76:$P76)=0,"",SUM($N76:$P76))</f>
        <v/>
      </c>
      <c r="R76" s="47">
        <f>IFERROR(IF(Q76="","",ROUND(Q76/$Q$11*100,2)),"")</f>
        <v/>
      </c>
      <c r="S76" s="54">
        <f>IFERROR(IF(R76="","",ROUND(R76*$S$11,2)),"")</f>
        <v/>
      </c>
      <c r="T76" s="265" t="n"/>
      <c r="U76" s="46" t="n"/>
      <c r="V76" s="268" t="n"/>
      <c r="W76" s="297">
        <f>IF(COUNT($T76:$V76)=0,"",SUM($T76:$V76))</f>
        <v/>
      </c>
      <c r="X76" s="352">
        <f>IFERROR(IF(W76="","",ROUND((($T76/$T$11)*30 + ($U76/$U$11)*30 + ($V76/$V$11)*40),2)),"")</f>
        <v/>
      </c>
      <c r="Y76" s="54">
        <f>IFERROR(IF(X76="","",ROUND(X76*$Y$11,2)),"")</f>
        <v/>
      </c>
      <c r="Z76" s="55">
        <f>IFERROR(M76+S76+Y76,"")</f>
        <v/>
      </c>
      <c r="AA76" s="274">
        <f>IFERROR(VLOOKUP(Z76,'Helper(IMPORTANT!)'!$CQ$1:$CR$41,2,TRUE),"")</f>
        <v/>
      </c>
      <c r="AB76" s="170">
        <f t="array" ref="AB76">IF(AA76="", "", _xlfn.IFS(AA76&gt;=90, "A", AA76&gt;=80, "B", AA76&gt;=75, "C", AA76&gt;=65, "D", AA76&gt;=0, "E"))</f>
        <v/>
      </c>
      <c r="AD76" s="39" t="n"/>
      <c r="AG76" s="38" t="n"/>
      <c r="AH76" s="38" t="n"/>
      <c r="AI76" s="38" t="n"/>
    </row>
    <row r="77" ht="18" customHeight="1">
      <c r="A77" s="169" t="n">
        <v>14</v>
      </c>
      <c r="B77" s="442">
        <f>'INPUT DATA'!O24</f>
        <v/>
      </c>
      <c r="C77" s="673" t="n"/>
      <c r="D77" s="673" t="n"/>
      <c r="E77" s="674" t="n"/>
      <c r="F77" s="52" t="n"/>
      <c r="G77" s="49" t="n"/>
      <c r="H77" s="49" t="n"/>
      <c r="I77" s="49" t="n"/>
      <c r="J77" s="49" t="n"/>
      <c r="K77" s="48">
        <f>IF(COUNT($F77:$J77)=0,"",SUM($F77:$J77))</f>
        <v/>
      </c>
      <c r="L77" s="47">
        <f>IFERROR(IF(K77="","",ROUND(K77/$K$11*100,2)),"")</f>
        <v/>
      </c>
      <c r="M77" s="54">
        <f>IFERROR(IF(L77="","",ROUND(L77*$M$11,2)),"")</f>
        <v/>
      </c>
      <c r="N77" s="52" t="n"/>
      <c r="O77" s="49" t="n"/>
      <c r="P77" s="49" t="n"/>
      <c r="Q77" s="48">
        <f>IF(COUNT($N77:$P77)=0,"",SUM($N77:$P77))</f>
        <v/>
      </c>
      <c r="R77" s="47">
        <f>IFERROR(IF(Q77="","",ROUND(Q77/$Q$11*100,2)),"")</f>
        <v/>
      </c>
      <c r="S77" s="54">
        <f>IFERROR(IF(R77="","",ROUND(R77*$S$11,2)),"")</f>
        <v/>
      </c>
      <c r="T77" s="265" t="n"/>
      <c r="U77" s="46" t="n"/>
      <c r="V77" s="268" t="n"/>
      <c r="W77" s="297">
        <f>IF(COUNT($T77:$V77)=0,"",SUM($T77:$V77))</f>
        <v/>
      </c>
      <c r="X77" s="352">
        <f>IFERROR(IF(W77="","",ROUND((($T77/$T$11)*30 + ($U77/$U$11)*30 + ($V77/$V$11)*40),2)),"")</f>
        <v/>
      </c>
      <c r="Y77" s="54">
        <f>IFERROR(IF(X77="","",ROUND(X77*$Y$11,2)),"")</f>
        <v/>
      </c>
      <c r="Z77" s="55">
        <f>IFERROR(M77+S77+Y77,"")</f>
        <v/>
      </c>
      <c r="AA77" s="274">
        <f>IFERROR(VLOOKUP(Z77,'Helper(IMPORTANT!)'!$CQ$1:$CR$41,2,TRUE),"")</f>
        <v/>
      </c>
      <c r="AB77" s="170">
        <f t="array" ref="AB77">IF(AA77="", "", _xlfn.IFS(AA77&gt;=90, "A", AA77&gt;=80, "B", AA77&gt;=75, "C", AA77&gt;=65, "D", AA77&gt;=0, "E"))</f>
        <v/>
      </c>
      <c r="AD77" s="39" t="n"/>
      <c r="AG77" s="38" t="n"/>
      <c r="AH77" s="38" t="n"/>
      <c r="AI77" s="38" t="n"/>
    </row>
    <row r="78" ht="18" customHeight="1">
      <c r="A78" s="169" t="n">
        <v>15</v>
      </c>
      <c r="B78" s="442">
        <f>'INPUT DATA'!O25</f>
        <v/>
      </c>
      <c r="C78" s="673" t="n"/>
      <c r="D78" s="673" t="n"/>
      <c r="E78" s="674" t="n"/>
      <c r="F78" s="52" t="n"/>
      <c r="G78" s="49" t="n"/>
      <c r="H78" s="49" t="n"/>
      <c r="I78" s="49" t="n"/>
      <c r="J78" s="49" t="n"/>
      <c r="K78" s="48">
        <f>IF(COUNT($F78:$J78)=0,"",SUM($F78:$J78))</f>
        <v/>
      </c>
      <c r="L78" s="47">
        <f>IFERROR(IF(K78="","",ROUND(K78/$K$11*100,2)),"")</f>
        <v/>
      </c>
      <c r="M78" s="54">
        <f>IFERROR(IF(L78="","",ROUND(L78*$M$11,2)),"")</f>
        <v/>
      </c>
      <c r="N78" s="52" t="n"/>
      <c r="O78" s="49" t="n"/>
      <c r="P78" s="49" t="n"/>
      <c r="Q78" s="48">
        <f>IF(COUNT($N78:$P78)=0,"",SUM($N78:$P78))</f>
        <v/>
      </c>
      <c r="R78" s="47">
        <f>IFERROR(IF(Q78="","",ROUND(Q78/$Q$11*100,2)),"")</f>
        <v/>
      </c>
      <c r="S78" s="54">
        <f>IFERROR(IF(R78="","",ROUND(R78*$S$11,2)),"")</f>
        <v/>
      </c>
      <c r="T78" s="265" t="n"/>
      <c r="U78" s="46" t="n"/>
      <c r="V78" s="268" t="n"/>
      <c r="W78" s="297">
        <f>IF(COUNT($T78:$V78)=0,"",SUM($T78:$V78))</f>
        <v/>
      </c>
      <c r="X78" s="352">
        <f>IFERROR(IF(W78="","",ROUND((($T78/$T$11)*30 + ($U78/$U$11)*30 + ($V78/$V$11)*40),2)),"")</f>
        <v/>
      </c>
      <c r="Y78" s="54">
        <f>IFERROR(IF(X78="","",ROUND(X78*$Y$11,2)),"")</f>
        <v/>
      </c>
      <c r="Z78" s="55">
        <f>IFERROR(M78+S78+Y78,"")</f>
        <v/>
      </c>
      <c r="AA78" s="274">
        <f>IFERROR(VLOOKUP(Z78,'Helper(IMPORTANT!)'!$CQ$1:$CR$41,2,TRUE),"")</f>
        <v/>
      </c>
      <c r="AB78" s="170">
        <f t="array" ref="AB78">IF(AA78="", "", _xlfn.IFS(AA78&gt;=90, "A", AA78&gt;=80, "B", AA78&gt;=75, "C", AA78&gt;=65, "D", AA78&gt;=0, "E"))</f>
        <v/>
      </c>
      <c r="AD78" s="39" t="n"/>
      <c r="AG78" s="38" t="n"/>
      <c r="AH78" s="38" t="n"/>
      <c r="AI78" s="38" t="n"/>
    </row>
    <row r="79" ht="18" customHeight="1">
      <c r="A79" s="169" t="n">
        <v>16</v>
      </c>
      <c r="B79" s="442">
        <f>'INPUT DATA'!O26</f>
        <v/>
      </c>
      <c r="C79" s="673" t="n"/>
      <c r="D79" s="673" t="n"/>
      <c r="E79" s="674" t="n"/>
      <c r="F79" s="52" t="n"/>
      <c r="G79" s="49" t="n"/>
      <c r="H79" s="49" t="n"/>
      <c r="I79" s="49" t="n"/>
      <c r="J79" s="49" t="n"/>
      <c r="K79" s="48">
        <f>IF(COUNT($F79:$J79)=0,"",SUM($F79:$J79))</f>
        <v/>
      </c>
      <c r="L79" s="47">
        <f>IFERROR(IF(K79="","",ROUND(K79/$K$11*100,2)),"")</f>
        <v/>
      </c>
      <c r="M79" s="54">
        <f>IFERROR(IF(L79="","",ROUND(L79*$M$11,2)),"")</f>
        <v/>
      </c>
      <c r="N79" s="52" t="n"/>
      <c r="O79" s="49" t="n"/>
      <c r="P79" s="49" t="n"/>
      <c r="Q79" s="48">
        <f>IF(COUNT($N79:$P79)=0,"",SUM($N79:$P79))</f>
        <v/>
      </c>
      <c r="R79" s="47">
        <f>IFERROR(IF(Q79="","",ROUND(Q79/$Q$11*100,2)),"")</f>
        <v/>
      </c>
      <c r="S79" s="54">
        <f>IFERROR(IF(R79="","",ROUND(R79*$S$11,2)),"")</f>
        <v/>
      </c>
      <c r="T79" s="265" t="n"/>
      <c r="U79" s="46" t="n"/>
      <c r="V79" s="268" t="n"/>
      <c r="W79" s="297">
        <f>IF(COUNT($T79:$V79)=0,"",SUM($T79:$V79))</f>
        <v/>
      </c>
      <c r="X79" s="352">
        <f>IFERROR(IF(W79="","",ROUND((($T79/$T$11)*30 + ($U79/$U$11)*30 + ($V79/$V$11)*40),2)),"")</f>
        <v/>
      </c>
      <c r="Y79" s="54">
        <f>IFERROR(IF(X79="","",ROUND(X79*$Y$11,2)),"")</f>
        <v/>
      </c>
      <c r="Z79" s="55">
        <f>IFERROR(M79+S79+Y79,"")</f>
        <v/>
      </c>
      <c r="AA79" s="274">
        <f>IFERROR(VLOOKUP(Z79,'Helper(IMPORTANT!)'!$CQ$1:$CR$41,2,TRUE),"")</f>
        <v/>
      </c>
      <c r="AB79" s="170">
        <f t="array" ref="AB79">IF(AA79="", "", _xlfn.IFS(AA79&gt;=90, "A", AA79&gt;=80, "B", AA79&gt;=75, "C", AA79&gt;=65, "D", AA79&gt;=0, "E"))</f>
        <v/>
      </c>
      <c r="AD79" s="39" t="n"/>
      <c r="AG79" s="38" t="n"/>
      <c r="AH79" s="38" t="n"/>
      <c r="AI79" s="38" t="n"/>
    </row>
    <row r="80" ht="18" customHeight="1">
      <c r="A80" s="169" t="n">
        <v>17</v>
      </c>
      <c r="B80" s="442">
        <f>'INPUT DATA'!O27</f>
        <v/>
      </c>
      <c r="C80" s="673" t="n"/>
      <c r="D80" s="673" t="n"/>
      <c r="E80" s="674" t="n"/>
      <c r="F80" s="52" t="n"/>
      <c r="G80" s="49" t="n"/>
      <c r="H80" s="49" t="n"/>
      <c r="I80" s="49" t="n"/>
      <c r="J80" s="49" t="n"/>
      <c r="K80" s="48">
        <f>IF(COUNT($F80:$J80)=0,"",SUM($F80:$J80))</f>
        <v/>
      </c>
      <c r="L80" s="47">
        <f>IFERROR(IF(K80="","",ROUND(K80/$K$11*100,2)),"")</f>
        <v/>
      </c>
      <c r="M80" s="54">
        <f>IFERROR(IF(L80="","",ROUND(L80*$M$11,2)),"")</f>
        <v/>
      </c>
      <c r="N80" s="52" t="n"/>
      <c r="O80" s="49" t="n"/>
      <c r="P80" s="49" t="n"/>
      <c r="Q80" s="48">
        <f>IF(COUNT($N80:$P80)=0,"",SUM($N80:$P80))</f>
        <v/>
      </c>
      <c r="R80" s="47">
        <f>IFERROR(IF(Q80="","",ROUND(Q80/$Q$11*100,2)),"")</f>
        <v/>
      </c>
      <c r="S80" s="54">
        <f>IFERROR(IF(R80="","",ROUND(R80*$S$11,2)),"")</f>
        <v/>
      </c>
      <c r="T80" s="265" t="n"/>
      <c r="U80" s="46" t="n"/>
      <c r="V80" s="268" t="n"/>
      <c r="W80" s="297">
        <f>IF(COUNT($T80:$V80)=0,"",SUM($T80:$V80))</f>
        <v/>
      </c>
      <c r="X80" s="352">
        <f>IFERROR(IF(W80="","",ROUND((($T80/$T$11)*30 + ($U80/$U$11)*30 + ($V80/$V$11)*40),2)),"")</f>
        <v/>
      </c>
      <c r="Y80" s="54">
        <f>IFERROR(IF(X80="","",ROUND(X80*$Y$11,2)),"")</f>
        <v/>
      </c>
      <c r="Z80" s="55">
        <f>IFERROR(M80+S80+Y80,"")</f>
        <v/>
      </c>
      <c r="AA80" s="274">
        <f>IFERROR(VLOOKUP(Z80,'Helper(IMPORTANT!)'!$CQ$1:$CR$41,2,TRUE),"")</f>
        <v/>
      </c>
      <c r="AB80" s="170">
        <f t="array" ref="AB80">IF(AA80="", "", _xlfn.IFS(AA80&gt;=90, "A", AA80&gt;=80, "B", AA80&gt;=75, "C", AA80&gt;=65, "D", AA80&gt;=0, "E"))</f>
        <v/>
      </c>
      <c r="AD80" s="39" t="n"/>
      <c r="AG80" s="38" t="n"/>
      <c r="AH80" s="38" t="n"/>
      <c r="AI80" s="38" t="n"/>
    </row>
    <row r="81" ht="18" customHeight="1">
      <c r="A81" s="169" t="n">
        <v>18</v>
      </c>
      <c r="B81" s="442">
        <f>'INPUT DATA'!O28</f>
        <v/>
      </c>
      <c r="C81" s="673" t="n"/>
      <c r="D81" s="673" t="n"/>
      <c r="E81" s="674" t="n"/>
      <c r="F81" s="52" t="n"/>
      <c r="G81" s="49" t="n"/>
      <c r="H81" s="49" t="n"/>
      <c r="I81" s="49" t="n"/>
      <c r="J81" s="49" t="n"/>
      <c r="K81" s="48">
        <f>IF(COUNT($F81:$J81)=0,"",SUM($F81:$J81))</f>
        <v/>
      </c>
      <c r="L81" s="47">
        <f>IFERROR(IF(K81="","",ROUND(K81/$K$11*100,2)),"")</f>
        <v/>
      </c>
      <c r="M81" s="54">
        <f>IFERROR(IF(L81="","",ROUND(L81*$M$11,2)),"")</f>
        <v/>
      </c>
      <c r="N81" s="52" t="n"/>
      <c r="O81" s="49" t="n"/>
      <c r="P81" s="49" t="n"/>
      <c r="Q81" s="48">
        <f>IF(COUNT($N81:$P81)=0,"",SUM($N81:$P81))</f>
        <v/>
      </c>
      <c r="R81" s="47">
        <f>IFERROR(IF(Q81="","",ROUND(Q81/$Q$11*100,2)),"")</f>
        <v/>
      </c>
      <c r="S81" s="54">
        <f>IFERROR(IF(R81="","",ROUND(R81*$S$11,2)),"")</f>
        <v/>
      </c>
      <c r="T81" s="265" t="n"/>
      <c r="U81" s="46" t="n"/>
      <c r="V81" s="268" t="n"/>
      <c r="W81" s="297">
        <f>IF(COUNT($T81:$V81)=0,"",SUM($T81:$V81))</f>
        <v/>
      </c>
      <c r="X81" s="352">
        <f>IFERROR(IF(W81="","",ROUND((($T81/$T$11)*30 + ($U81/$U$11)*30 + ($V81/$V$11)*40),2)),"")</f>
        <v/>
      </c>
      <c r="Y81" s="54">
        <f>IFERROR(IF(X81="","",ROUND(X81*$Y$11,2)),"")</f>
        <v/>
      </c>
      <c r="Z81" s="55">
        <f>IFERROR(M81+S81+Y81,"")</f>
        <v/>
      </c>
      <c r="AA81" s="274">
        <f>IFERROR(VLOOKUP(Z81,'Helper(IMPORTANT!)'!$CQ$1:$CR$41,2,TRUE),"")</f>
        <v/>
      </c>
      <c r="AB81" s="170">
        <f t="array" ref="AB81">IF(AA81="", "", _xlfn.IFS(AA81&gt;=90, "A", AA81&gt;=80, "B", AA81&gt;=75, "C", AA81&gt;=65, "D", AA81&gt;=0, "E"))</f>
        <v/>
      </c>
      <c r="AD81" s="39" t="n"/>
      <c r="AG81" s="38" t="n"/>
      <c r="AH81" s="38" t="n"/>
      <c r="AI81" s="38" t="n"/>
    </row>
    <row r="82" ht="18" customHeight="1">
      <c r="A82" s="169" t="n">
        <v>19</v>
      </c>
      <c r="B82" s="442">
        <f>'INPUT DATA'!O29</f>
        <v/>
      </c>
      <c r="C82" s="673" t="n"/>
      <c r="D82" s="673" t="n"/>
      <c r="E82" s="674" t="n"/>
      <c r="F82" s="52" t="n"/>
      <c r="G82" s="49" t="n"/>
      <c r="H82" s="49" t="n"/>
      <c r="I82" s="49" t="n"/>
      <c r="J82" s="49" t="n"/>
      <c r="K82" s="48">
        <f>IF(COUNT($F82:$J82)=0,"",SUM($F82:$J82))</f>
        <v/>
      </c>
      <c r="L82" s="47">
        <f>IFERROR(IF(K82="","",ROUND(K82/$K$11*100,2)),"")</f>
        <v/>
      </c>
      <c r="M82" s="54">
        <f>IFERROR(IF(L82="","",ROUND(L82*$M$11,2)),"")</f>
        <v/>
      </c>
      <c r="N82" s="52" t="n"/>
      <c r="O82" s="49" t="n"/>
      <c r="P82" s="49" t="n"/>
      <c r="Q82" s="48">
        <f>IF(COUNT($N82:$P82)=0,"",SUM($N82:$P82))</f>
        <v/>
      </c>
      <c r="R82" s="47">
        <f>IFERROR(IF(Q82="","",ROUND(Q82/$Q$11*100,2)),"")</f>
        <v/>
      </c>
      <c r="S82" s="54">
        <f>IFERROR(IF(R82="","",ROUND(R82*$S$11,2)),"")</f>
        <v/>
      </c>
      <c r="T82" s="265" t="n"/>
      <c r="U82" s="46" t="n"/>
      <c r="V82" s="268" t="n"/>
      <c r="W82" s="297">
        <f>IF(COUNT($T82:$V82)=0,"",SUM($T82:$V82))</f>
        <v/>
      </c>
      <c r="X82" s="352">
        <f>IFERROR(IF(W82="","",ROUND((($T82/$T$11)*30 + ($U82/$U$11)*30 + ($V82/$V$11)*40),2)),"")</f>
        <v/>
      </c>
      <c r="Y82" s="54">
        <f>IFERROR(IF(X82="","",ROUND(X82*$Y$11,2)),"")</f>
        <v/>
      </c>
      <c r="Z82" s="55">
        <f>IFERROR(M82+S82+Y82,"")</f>
        <v/>
      </c>
      <c r="AA82" s="274">
        <f>IFERROR(VLOOKUP(Z82,'Helper(IMPORTANT!)'!$CQ$1:$CR$41,2,TRUE),"")</f>
        <v/>
      </c>
      <c r="AB82" s="170">
        <f t="array" ref="AB82">IF(AA82="", "", _xlfn.IFS(AA82&gt;=90, "A", AA82&gt;=80, "B", AA82&gt;=75, "C", AA82&gt;=65, "D", AA82&gt;=0, "E"))</f>
        <v/>
      </c>
      <c r="AD82" s="39" t="n"/>
      <c r="AG82" s="38" t="n"/>
      <c r="AH82" s="38" t="n"/>
      <c r="AI82" s="38" t="n"/>
    </row>
    <row r="83" ht="18" customHeight="1">
      <c r="A83" s="169" t="n">
        <v>20</v>
      </c>
      <c r="B83" s="442">
        <f>'INPUT DATA'!O30</f>
        <v/>
      </c>
      <c r="C83" s="673" t="n"/>
      <c r="D83" s="673" t="n"/>
      <c r="E83" s="674" t="n"/>
      <c r="F83" s="52" t="n"/>
      <c r="G83" s="49" t="n"/>
      <c r="H83" s="49" t="n"/>
      <c r="I83" s="49" t="n"/>
      <c r="J83" s="49" t="n"/>
      <c r="K83" s="48">
        <f>IF(COUNT($F83:$J83)=0,"",SUM($F83:$J83))</f>
        <v/>
      </c>
      <c r="L83" s="47">
        <f>IFERROR(IF(K83="","",ROUND(K83/$K$11*100,2)),"")</f>
        <v/>
      </c>
      <c r="M83" s="54">
        <f>IFERROR(IF(L83="","",ROUND(L83*$M$11,2)),"")</f>
        <v/>
      </c>
      <c r="N83" s="52" t="n"/>
      <c r="O83" s="49" t="n"/>
      <c r="P83" s="49" t="n"/>
      <c r="Q83" s="48">
        <f>IF(COUNT($N83:$P83)=0,"",SUM($N83:$P83))</f>
        <v/>
      </c>
      <c r="R83" s="47">
        <f>IFERROR(IF(Q83="","",ROUND(Q83/$Q$11*100,2)),"")</f>
        <v/>
      </c>
      <c r="S83" s="54">
        <f>IFERROR(IF(R83="","",ROUND(R83*$S$11,2)),"")</f>
        <v/>
      </c>
      <c r="T83" s="265" t="n"/>
      <c r="U83" s="46" t="n"/>
      <c r="V83" s="268" t="n"/>
      <c r="W83" s="297">
        <f>IF(COUNT($T83:$V83)=0,"",SUM($T83:$V83))</f>
        <v/>
      </c>
      <c r="X83" s="352">
        <f>IFERROR(IF(W83="","",ROUND((($T83/$T$11)*30 + ($U83/$U$11)*30 + ($V83/$V$11)*40),2)),"")</f>
        <v/>
      </c>
      <c r="Y83" s="54">
        <f>IFERROR(IF(X83="","",ROUND(X83*$Y$11,2)),"")</f>
        <v/>
      </c>
      <c r="Z83" s="55">
        <f>IFERROR(M83+S83+Y83,"")</f>
        <v/>
      </c>
      <c r="AA83" s="274">
        <f>IFERROR(VLOOKUP(Z83,'Helper(IMPORTANT!)'!$CQ$1:$CR$41,2,TRUE),"")</f>
        <v/>
      </c>
      <c r="AB83" s="170">
        <f t="array" ref="AB83">IF(AA83="", "", _xlfn.IFS(AA83&gt;=90, "A", AA83&gt;=80, "B", AA83&gt;=75, "C", AA83&gt;=65, "D", AA83&gt;=0, "E"))</f>
        <v/>
      </c>
      <c r="AD83" s="39" t="n"/>
      <c r="AG83" s="38" t="n"/>
      <c r="AH83" s="38" t="n"/>
      <c r="AI83" s="38" t="n"/>
    </row>
    <row r="84" ht="18" customHeight="1">
      <c r="A84" s="169" t="n">
        <v>21</v>
      </c>
      <c r="B84" s="442">
        <f>'INPUT DATA'!O31</f>
        <v/>
      </c>
      <c r="C84" s="673" t="n"/>
      <c r="D84" s="673" t="n"/>
      <c r="E84" s="674" t="n"/>
      <c r="F84" s="52" t="n"/>
      <c r="G84" s="49" t="n"/>
      <c r="H84" s="49" t="n"/>
      <c r="I84" s="49" t="n"/>
      <c r="J84" s="49" t="n"/>
      <c r="K84" s="48">
        <f>IF(COUNT($F84:$J84)=0,"",SUM($F84:$J84))</f>
        <v/>
      </c>
      <c r="L84" s="47">
        <f>IFERROR(IF(K84="","",ROUND(K84/$K$11*100,2)),"")</f>
        <v/>
      </c>
      <c r="M84" s="54">
        <f>IFERROR(IF(L84="","",ROUND(L84*$M$11,2)),"")</f>
        <v/>
      </c>
      <c r="N84" s="52" t="n"/>
      <c r="O84" s="49" t="n"/>
      <c r="P84" s="49" t="n"/>
      <c r="Q84" s="48">
        <f>IF(COUNT($N84:$P84)=0,"",SUM($N84:$P84))</f>
        <v/>
      </c>
      <c r="R84" s="47">
        <f>IFERROR(IF(Q84="","",ROUND(Q84/$Q$11*100,2)),"")</f>
        <v/>
      </c>
      <c r="S84" s="54">
        <f>IFERROR(IF(R84="","",ROUND(R84*$S$11,2)),"")</f>
        <v/>
      </c>
      <c r="T84" s="265" t="n"/>
      <c r="U84" s="46" t="n"/>
      <c r="V84" s="268" t="n"/>
      <c r="W84" s="297">
        <f>IF(COUNT($T84:$V84)=0,"",SUM($T84:$V84))</f>
        <v/>
      </c>
      <c r="X84" s="352">
        <f>IFERROR(IF(W84="","",ROUND((($T84/$T$11)*30 + ($U84/$U$11)*30 + ($V84/$V$11)*40),2)),"")</f>
        <v/>
      </c>
      <c r="Y84" s="54">
        <f>IFERROR(IF(X84="","",ROUND(X84*$Y$11,2)),"")</f>
        <v/>
      </c>
      <c r="Z84" s="55">
        <f>IFERROR(M84+S84+Y84,"")</f>
        <v/>
      </c>
      <c r="AA84" s="274">
        <f>IFERROR(VLOOKUP(Z84,'Helper(IMPORTANT!)'!$CQ$1:$CR$41,2,TRUE),"")</f>
        <v/>
      </c>
      <c r="AB84" s="170">
        <f t="array" ref="AB84">IF(AA84="", "", _xlfn.IFS(AA84&gt;=90, "A", AA84&gt;=80, "B", AA84&gt;=75, "C", AA84&gt;=65, "D", AA84&gt;=0, "E"))</f>
        <v/>
      </c>
      <c r="AD84" s="39" t="n"/>
      <c r="AG84" s="38" t="n"/>
      <c r="AH84" s="38" t="n"/>
      <c r="AI84" s="38" t="n"/>
    </row>
    <row r="85" ht="18" customHeight="1">
      <c r="A85" s="169" t="n">
        <v>22</v>
      </c>
      <c r="B85" s="442">
        <f>'INPUT DATA'!O32</f>
        <v/>
      </c>
      <c r="C85" s="673" t="n"/>
      <c r="D85" s="673" t="n"/>
      <c r="E85" s="674" t="n"/>
      <c r="F85" s="52" t="n"/>
      <c r="G85" s="49" t="n"/>
      <c r="H85" s="49" t="n"/>
      <c r="I85" s="49" t="n"/>
      <c r="J85" s="49" t="n"/>
      <c r="K85" s="48">
        <f>IF(COUNT($F85:$J85)=0,"",SUM($F85:$J85))</f>
        <v/>
      </c>
      <c r="L85" s="47">
        <f>IFERROR(IF(K85="","",ROUND(K85/$K$11*100,2)),"")</f>
        <v/>
      </c>
      <c r="M85" s="54">
        <f>IFERROR(IF(L85="","",ROUND(L85*$M$11,2)),"")</f>
        <v/>
      </c>
      <c r="N85" s="52" t="n"/>
      <c r="O85" s="49" t="n"/>
      <c r="P85" s="49" t="n"/>
      <c r="Q85" s="48">
        <f>IF(COUNT($N85:$P85)=0,"",SUM($N85:$P85))</f>
        <v/>
      </c>
      <c r="R85" s="47">
        <f>IFERROR(IF(Q85="","",ROUND(Q85/$Q$11*100,2)),"")</f>
        <v/>
      </c>
      <c r="S85" s="54">
        <f>IFERROR(IF(R85="","",ROUND(R85*$S$11,2)),"")</f>
        <v/>
      </c>
      <c r="T85" s="265" t="n"/>
      <c r="U85" s="46" t="n"/>
      <c r="V85" s="268" t="n"/>
      <c r="W85" s="297">
        <f>IF(COUNT($T85:$V85)=0,"",SUM($T85:$V85))</f>
        <v/>
      </c>
      <c r="X85" s="352">
        <f>IFERROR(IF(W85="","",ROUND((($T85/$T$11)*30 + ($U85/$U$11)*30 + ($V85/$V$11)*40),2)),"")</f>
        <v/>
      </c>
      <c r="Y85" s="54">
        <f>IFERROR(IF(X85="","",ROUND(X85*$Y$11,2)),"")</f>
        <v/>
      </c>
      <c r="Z85" s="55">
        <f>IFERROR(M85+S85+Y85,"")</f>
        <v/>
      </c>
      <c r="AA85" s="274">
        <f>IFERROR(VLOOKUP(Z85,'Helper(IMPORTANT!)'!$CQ$1:$CR$41,2,TRUE),"")</f>
        <v/>
      </c>
      <c r="AB85" s="170">
        <f t="array" ref="AB85">IF(AA85="", "", _xlfn.IFS(AA85&gt;=90, "A", AA85&gt;=80, "B", AA85&gt;=75, "C", AA85&gt;=65, "D", AA85&gt;=0, "E"))</f>
        <v/>
      </c>
      <c r="AD85" s="39" t="n"/>
      <c r="AG85" s="38" t="n"/>
      <c r="AH85" s="38" t="n"/>
      <c r="AI85" s="38" t="n"/>
    </row>
    <row r="86" ht="18" customHeight="1">
      <c r="A86" s="169" t="n">
        <v>23</v>
      </c>
      <c r="B86" s="442">
        <f>'INPUT DATA'!O33</f>
        <v/>
      </c>
      <c r="C86" s="673" t="n"/>
      <c r="D86" s="673" t="n"/>
      <c r="E86" s="674" t="n"/>
      <c r="F86" s="52" t="n"/>
      <c r="G86" s="49" t="n"/>
      <c r="H86" s="49" t="n"/>
      <c r="I86" s="49" t="n"/>
      <c r="J86" s="49" t="n"/>
      <c r="K86" s="48">
        <f>IF(COUNT($F86:$J86)=0,"",SUM($F86:$J86))</f>
        <v/>
      </c>
      <c r="L86" s="47">
        <f>IFERROR(IF(K86="","",ROUND(K86/$K$11*100,2)),"")</f>
        <v/>
      </c>
      <c r="M86" s="54">
        <f>IFERROR(IF(L86="","",ROUND(L86*$M$11,2)),"")</f>
        <v/>
      </c>
      <c r="N86" s="52" t="n"/>
      <c r="O86" s="49" t="n"/>
      <c r="P86" s="49" t="n"/>
      <c r="Q86" s="48">
        <f>IF(COUNT($N86:$P86)=0,"",SUM($N86:$P86))</f>
        <v/>
      </c>
      <c r="R86" s="47">
        <f>IFERROR(IF(Q86="","",ROUND(Q86/$Q$11*100,2)),"")</f>
        <v/>
      </c>
      <c r="S86" s="54">
        <f>IFERROR(IF(R86="","",ROUND(R86*$S$11,2)),"")</f>
        <v/>
      </c>
      <c r="T86" s="265" t="n"/>
      <c r="U86" s="46" t="n"/>
      <c r="V86" s="268" t="n"/>
      <c r="W86" s="297">
        <f>IF(COUNT($T86:$V86)=0,"",SUM($T86:$V86))</f>
        <v/>
      </c>
      <c r="X86" s="352">
        <f>IFERROR(IF(W86="","",ROUND((($T86/$T$11)*30 + ($U86/$U$11)*30 + ($V86/$V$11)*40),2)),"")</f>
        <v/>
      </c>
      <c r="Y86" s="54">
        <f>IFERROR(IF(X86="","",ROUND(X86*$Y$11,2)),"")</f>
        <v/>
      </c>
      <c r="Z86" s="55">
        <f>IFERROR(M86+S86+Y86,"")</f>
        <v/>
      </c>
      <c r="AA86" s="274">
        <f>IFERROR(VLOOKUP(Z86,'Helper(IMPORTANT!)'!$CQ$1:$CR$41,2,TRUE),"")</f>
        <v/>
      </c>
      <c r="AB86" s="170">
        <f t="array" ref="AB86">IF(AA86="", "", _xlfn.IFS(AA86&gt;=90, "A", AA86&gt;=80, "B", AA86&gt;=75, "C", AA86&gt;=65, "D", AA86&gt;=0, "E"))</f>
        <v/>
      </c>
      <c r="AD86" s="39" t="n"/>
      <c r="AG86" s="38" t="n"/>
      <c r="AH86" s="38" t="n"/>
      <c r="AI86" s="38" t="n"/>
    </row>
    <row r="87" ht="18" customHeight="1">
      <c r="A87" s="169" t="n">
        <v>24</v>
      </c>
      <c r="B87" s="442">
        <f>'INPUT DATA'!O34</f>
        <v/>
      </c>
      <c r="C87" s="673" t="n"/>
      <c r="D87" s="673" t="n"/>
      <c r="E87" s="674" t="n"/>
      <c r="F87" s="52" t="n"/>
      <c r="G87" s="49" t="n"/>
      <c r="H87" s="49" t="n"/>
      <c r="I87" s="49" t="n"/>
      <c r="J87" s="49" t="n"/>
      <c r="K87" s="48">
        <f>IF(COUNT($F87:$J87)=0,"",SUM($F87:$J87))</f>
        <v/>
      </c>
      <c r="L87" s="47">
        <f>IFERROR(IF(K87="","",ROUND(K87/$K$11*100,2)),"")</f>
        <v/>
      </c>
      <c r="M87" s="54">
        <f>IFERROR(IF(L87="","",ROUND(L87*$M$11,2)),"")</f>
        <v/>
      </c>
      <c r="N87" s="52" t="n"/>
      <c r="O87" s="49" t="n"/>
      <c r="P87" s="49" t="n"/>
      <c r="Q87" s="48">
        <f>IF(COUNT($N87:$P87)=0,"",SUM($N87:$P87))</f>
        <v/>
      </c>
      <c r="R87" s="47">
        <f>IFERROR(IF(Q87="","",ROUND(Q87/$Q$11*100,2)),"")</f>
        <v/>
      </c>
      <c r="S87" s="54">
        <f>IFERROR(IF(R87="","",ROUND(R87*$S$11,2)),"")</f>
        <v/>
      </c>
      <c r="T87" s="265" t="n"/>
      <c r="U87" s="46" t="n"/>
      <c r="V87" s="268" t="n"/>
      <c r="W87" s="297">
        <f>IF(COUNT($T87:$V87)=0,"",SUM($T87:$V87))</f>
        <v/>
      </c>
      <c r="X87" s="352">
        <f>IFERROR(IF(W87="","",ROUND((($T87/$T$11)*30 + ($U87/$U$11)*30 + ($V87/$V$11)*40),2)),"")</f>
        <v/>
      </c>
      <c r="Y87" s="54">
        <f>IFERROR(IF(X87="","",ROUND(X87*$Y$11,2)),"")</f>
        <v/>
      </c>
      <c r="Z87" s="55">
        <f>IFERROR(M87+S87+Y87,"")</f>
        <v/>
      </c>
      <c r="AA87" s="274">
        <f>IFERROR(VLOOKUP(Z87,'Helper(IMPORTANT!)'!$CQ$1:$CR$41,2,TRUE),"")</f>
        <v/>
      </c>
      <c r="AB87" s="170">
        <f t="array" ref="AB87">IF(AA87="", "", _xlfn.IFS(AA87&gt;=90, "A", AA87&gt;=80, "B", AA87&gt;=75, "C", AA87&gt;=65, "D", AA87&gt;=0, "E"))</f>
        <v/>
      </c>
      <c r="AD87" s="39" t="n"/>
      <c r="AG87" s="38" t="n"/>
      <c r="AH87" s="38" t="n"/>
      <c r="AI87" s="38" t="n"/>
    </row>
    <row r="88" ht="18" customHeight="1">
      <c r="A88" s="169" t="n">
        <v>25</v>
      </c>
      <c r="B88" s="442">
        <f>'INPUT DATA'!O35</f>
        <v/>
      </c>
      <c r="C88" s="673" t="n"/>
      <c r="D88" s="673" t="n"/>
      <c r="E88" s="674" t="n"/>
      <c r="F88" s="52" t="n"/>
      <c r="G88" s="49" t="n"/>
      <c r="H88" s="49" t="n"/>
      <c r="I88" s="49" t="n"/>
      <c r="J88" s="49" t="n"/>
      <c r="K88" s="48">
        <f>IF(COUNT($F88:$J88)=0,"",SUM($F88:$J88))</f>
        <v/>
      </c>
      <c r="L88" s="47">
        <f>IFERROR(IF(K88="","",ROUND(K88/$K$11*100,2)),"")</f>
        <v/>
      </c>
      <c r="M88" s="54">
        <f>IFERROR(IF(L88="","",ROUND(L88*$M$11,2)),"")</f>
        <v/>
      </c>
      <c r="N88" s="52" t="n"/>
      <c r="O88" s="49" t="n"/>
      <c r="P88" s="49" t="n"/>
      <c r="Q88" s="48">
        <f>IF(COUNT($N88:$P88)=0,"",SUM($N88:$P88))</f>
        <v/>
      </c>
      <c r="R88" s="47">
        <f>IFERROR(IF(Q88="","",ROUND(Q88/$Q$11*100,2)),"")</f>
        <v/>
      </c>
      <c r="S88" s="54">
        <f>IFERROR(IF(R88="","",ROUND(R88*$S$11,2)),"")</f>
        <v/>
      </c>
      <c r="T88" s="265" t="n"/>
      <c r="U88" s="46" t="n"/>
      <c r="V88" s="268" t="n"/>
      <c r="W88" s="297">
        <f>IF(COUNT($T88:$V88)=0,"",SUM($T88:$V88))</f>
        <v/>
      </c>
      <c r="X88" s="352">
        <f>IFERROR(IF(W88="","",ROUND((($T88/$T$11)*30 + ($U88/$U$11)*30 + ($V88/$V$11)*40),2)),"")</f>
        <v/>
      </c>
      <c r="Y88" s="54">
        <f>IFERROR(IF(X88="","",ROUND(X88*$Y$11,2)),"")</f>
        <v/>
      </c>
      <c r="Z88" s="55">
        <f>IFERROR(M88+S88+Y88,"")</f>
        <v/>
      </c>
      <c r="AA88" s="274">
        <f>IFERROR(VLOOKUP(Z88,'Helper(IMPORTANT!)'!$CQ$1:$CR$41,2,TRUE),"")</f>
        <v/>
      </c>
      <c r="AB88" s="170">
        <f t="array" ref="AB88">IF(AA88="", "", _xlfn.IFS(AA88&gt;=90, "A", AA88&gt;=80, "B", AA88&gt;=75, "C", AA88&gt;=65, "D", AA88&gt;=0, "E"))</f>
        <v/>
      </c>
      <c r="AD88" s="39" t="n"/>
      <c r="AG88" s="38" t="n"/>
      <c r="AH88" s="38" t="n"/>
      <c r="AI88" s="38" t="n"/>
    </row>
    <row r="89" ht="18" customHeight="1">
      <c r="A89" s="169" t="n">
        <v>26</v>
      </c>
      <c r="B89" s="442">
        <f>'INPUT DATA'!O36</f>
        <v/>
      </c>
      <c r="C89" s="673" t="n"/>
      <c r="D89" s="673" t="n"/>
      <c r="E89" s="674" t="n"/>
      <c r="F89" s="52" t="n"/>
      <c r="G89" s="49" t="n"/>
      <c r="H89" s="49" t="n"/>
      <c r="I89" s="49" t="n"/>
      <c r="J89" s="49" t="n"/>
      <c r="K89" s="48">
        <f>IF(COUNT($F89:$J89)=0,"",SUM($F89:$J89))</f>
        <v/>
      </c>
      <c r="L89" s="47">
        <f>IFERROR(IF(K89="","",ROUND(K89/$K$11*100,2)),"")</f>
        <v/>
      </c>
      <c r="M89" s="54">
        <f>IFERROR(IF(L89="","",ROUND(L89*$M$11,2)),"")</f>
        <v/>
      </c>
      <c r="N89" s="52" t="n"/>
      <c r="O89" s="49" t="n"/>
      <c r="P89" s="49" t="n"/>
      <c r="Q89" s="48">
        <f>IF(COUNT($N89:$P89)=0,"",SUM($N89:$P89))</f>
        <v/>
      </c>
      <c r="R89" s="47">
        <f>IFERROR(IF(Q89="","",ROUND(Q89/$Q$11*100,2)),"")</f>
        <v/>
      </c>
      <c r="S89" s="54">
        <f>IFERROR(IF(R89="","",ROUND(R89*$S$11,2)),"")</f>
        <v/>
      </c>
      <c r="T89" s="265" t="n"/>
      <c r="U89" s="46" t="n"/>
      <c r="V89" s="268" t="n"/>
      <c r="W89" s="297">
        <f>IF(COUNT($T89:$V89)=0,"",SUM($T89:$V89))</f>
        <v/>
      </c>
      <c r="X89" s="352">
        <f>IFERROR(IF(W89="","",ROUND((($T89/$T$11)*30 + ($U89/$U$11)*30 + ($V89/$V$11)*40),2)),"")</f>
        <v/>
      </c>
      <c r="Y89" s="54">
        <f>IFERROR(IF(X89="","",ROUND(X89*$Y$11,2)),"")</f>
        <v/>
      </c>
      <c r="Z89" s="55">
        <f>IFERROR(M89+S89+Y89,"")</f>
        <v/>
      </c>
      <c r="AA89" s="274">
        <f>IFERROR(VLOOKUP(Z89,'Helper(IMPORTANT!)'!$CQ$1:$CR$41,2,TRUE),"")</f>
        <v/>
      </c>
      <c r="AB89" s="170">
        <f t="array" ref="AB89">IF(AA89="", "", _xlfn.IFS(AA89&gt;=90, "A", AA89&gt;=80, "B", AA89&gt;=75, "C", AA89&gt;=65, "D", AA89&gt;=0, "E"))</f>
        <v/>
      </c>
      <c r="AD89" s="39" t="n"/>
      <c r="AG89" s="38" t="n"/>
      <c r="AH89" s="38" t="n"/>
      <c r="AI89" s="38" t="n"/>
    </row>
    <row r="90" ht="18" customHeight="1">
      <c r="A90" s="169" t="n">
        <v>27</v>
      </c>
      <c r="B90" s="442">
        <f>'INPUT DATA'!O37</f>
        <v/>
      </c>
      <c r="C90" s="673" t="n"/>
      <c r="D90" s="673" t="n"/>
      <c r="E90" s="674" t="n"/>
      <c r="F90" s="52" t="n"/>
      <c r="G90" s="49" t="n"/>
      <c r="H90" s="49" t="n"/>
      <c r="I90" s="49" t="n"/>
      <c r="J90" s="49" t="n"/>
      <c r="K90" s="48">
        <f>IF(COUNT($F90:$J90)=0,"",SUM($F90:$J90))</f>
        <v/>
      </c>
      <c r="L90" s="47">
        <f>IFERROR(IF(K90="","",ROUND(K90/$K$11*100,2)),"")</f>
        <v/>
      </c>
      <c r="M90" s="54">
        <f>IFERROR(IF(L90="","",ROUND(L90*$M$11,2)),"")</f>
        <v/>
      </c>
      <c r="N90" s="52" t="n"/>
      <c r="O90" s="49" t="n"/>
      <c r="P90" s="49" t="n"/>
      <c r="Q90" s="48">
        <f>IF(COUNT($N90:$P90)=0,"",SUM($N90:$P90))</f>
        <v/>
      </c>
      <c r="R90" s="47">
        <f>IFERROR(IF(Q90="","",ROUND(Q90/$Q$11*100,2)),"")</f>
        <v/>
      </c>
      <c r="S90" s="54">
        <f>IFERROR(IF(R90="","",ROUND(R90*$S$11,2)),"")</f>
        <v/>
      </c>
      <c r="T90" s="265" t="n"/>
      <c r="U90" s="46" t="n"/>
      <c r="V90" s="268" t="n"/>
      <c r="W90" s="297">
        <f>IF(COUNT($T90:$V90)=0,"",SUM($T90:$V90))</f>
        <v/>
      </c>
      <c r="X90" s="352">
        <f>IFERROR(IF(W90="","",ROUND((($T90/$T$11)*30 + ($U90/$U$11)*30 + ($V90/$V$11)*40),2)),"")</f>
        <v/>
      </c>
      <c r="Y90" s="54">
        <f>IFERROR(IF(X90="","",ROUND(X90*$Y$11,2)),"")</f>
        <v/>
      </c>
      <c r="Z90" s="55">
        <f>IFERROR(M90+S90+Y90,"")</f>
        <v/>
      </c>
      <c r="AA90" s="274">
        <f>IFERROR(VLOOKUP(Z90,'Helper(IMPORTANT!)'!$CQ$1:$CR$41,2,TRUE),"")</f>
        <v/>
      </c>
      <c r="AB90" s="170">
        <f t="array" ref="AB90">IF(AA90="", "", _xlfn.IFS(AA90&gt;=90, "A", AA90&gt;=80, "B", AA90&gt;=75, "C", AA90&gt;=65, "D", AA90&gt;=0, "E"))</f>
        <v/>
      </c>
      <c r="AD90" s="39" t="n"/>
      <c r="AG90" s="38" t="n"/>
      <c r="AH90" s="38" t="n"/>
      <c r="AI90" s="38" t="n"/>
    </row>
    <row r="91" ht="18" customHeight="1">
      <c r="A91" s="169" t="n">
        <v>28</v>
      </c>
      <c r="B91" s="442">
        <f>'INPUT DATA'!O38</f>
        <v/>
      </c>
      <c r="C91" s="673" t="n"/>
      <c r="D91" s="673" t="n"/>
      <c r="E91" s="674" t="n"/>
      <c r="F91" s="52" t="n"/>
      <c r="G91" s="49" t="n"/>
      <c r="H91" s="49" t="n"/>
      <c r="I91" s="49" t="n"/>
      <c r="J91" s="49" t="n"/>
      <c r="K91" s="48">
        <f>IF(COUNT($F91:$J91)=0,"",SUM($F91:$J91))</f>
        <v/>
      </c>
      <c r="L91" s="47">
        <f>IFERROR(IF(K91="","",ROUND(K91/$K$11*100,2)),"")</f>
        <v/>
      </c>
      <c r="M91" s="54">
        <f>IFERROR(IF(L91="","",ROUND(L91*$M$11,2)),"")</f>
        <v/>
      </c>
      <c r="N91" s="52" t="n"/>
      <c r="O91" s="49" t="n"/>
      <c r="P91" s="49" t="n"/>
      <c r="Q91" s="48">
        <f>IF(COUNT($N91:$P91)=0,"",SUM($N91:$P91))</f>
        <v/>
      </c>
      <c r="R91" s="47">
        <f>IFERROR(IF(Q91="","",ROUND(Q91/$Q$11*100,2)),"")</f>
        <v/>
      </c>
      <c r="S91" s="54">
        <f>IFERROR(IF(R91="","",ROUND(R91*$S$11,2)),"")</f>
        <v/>
      </c>
      <c r="T91" s="265" t="n"/>
      <c r="U91" s="46" t="n"/>
      <c r="V91" s="268" t="n"/>
      <c r="W91" s="297">
        <f>IF(COUNT($T91:$V91)=0,"",SUM($T91:$V91))</f>
        <v/>
      </c>
      <c r="X91" s="352">
        <f>IFERROR(IF(W91="","",ROUND((($T91/$T$11)*30 + ($U91/$U$11)*30 + ($V91/$V$11)*40),2)),"")</f>
        <v/>
      </c>
      <c r="Y91" s="54">
        <f>IFERROR(IF(X91="","",ROUND(X91*$Y$11,2)),"")</f>
        <v/>
      </c>
      <c r="Z91" s="55">
        <f>IFERROR(M91+S91+Y91,"")</f>
        <v/>
      </c>
      <c r="AA91" s="274">
        <f>IFERROR(VLOOKUP(Z91,'Helper(IMPORTANT!)'!$CQ$1:$CR$41,2,TRUE),"")</f>
        <v/>
      </c>
      <c r="AB91" s="170">
        <f t="array" ref="AB91">IF(AA91="", "", _xlfn.IFS(AA91&gt;=90, "A", AA91&gt;=80, "B", AA91&gt;=75, "C", AA91&gt;=65, "D", AA91&gt;=0, "E"))</f>
        <v/>
      </c>
      <c r="AD91" s="39" t="n"/>
      <c r="AG91" s="38" t="n"/>
      <c r="AH91" s="38" t="n"/>
      <c r="AI91" s="38" t="n"/>
    </row>
    <row r="92" ht="18" customHeight="1">
      <c r="A92" s="169" t="n">
        <v>29</v>
      </c>
      <c r="B92" s="442">
        <f>'INPUT DATA'!O39</f>
        <v/>
      </c>
      <c r="C92" s="673" t="n"/>
      <c r="D92" s="673" t="n"/>
      <c r="E92" s="674" t="n"/>
      <c r="F92" s="52" t="n"/>
      <c r="G92" s="49" t="n"/>
      <c r="H92" s="49" t="n"/>
      <c r="I92" s="49" t="n"/>
      <c r="J92" s="49" t="n"/>
      <c r="K92" s="48">
        <f>IF(COUNT($F92:$J92)=0,"",SUM($F92:$J92))</f>
        <v/>
      </c>
      <c r="L92" s="47">
        <f>IFERROR(IF(K92="","",ROUND(K92/$K$11*100,2)),"")</f>
        <v/>
      </c>
      <c r="M92" s="54">
        <f>IFERROR(IF(L92="","",ROUND(L92*$M$11,2)),"")</f>
        <v/>
      </c>
      <c r="N92" s="52" t="n"/>
      <c r="O92" s="49" t="n"/>
      <c r="P92" s="49" t="n"/>
      <c r="Q92" s="48">
        <f>IF(COUNT($N92:$P92)=0,"",SUM($N92:$P92))</f>
        <v/>
      </c>
      <c r="R92" s="47">
        <f>IFERROR(IF(Q92="","",ROUND(Q92/$Q$11*100,2)),"")</f>
        <v/>
      </c>
      <c r="S92" s="54">
        <f>IFERROR(IF(R92="","",ROUND(R92*$S$11,2)),"")</f>
        <v/>
      </c>
      <c r="T92" s="265" t="n"/>
      <c r="U92" s="46" t="n"/>
      <c r="V92" s="268" t="n"/>
      <c r="W92" s="297">
        <f>IF(COUNT($T92:$V92)=0,"",SUM($T92:$V92))</f>
        <v/>
      </c>
      <c r="X92" s="352">
        <f>IFERROR(IF(W92="","",ROUND((($T92/$T$11)*30 + ($U92/$U$11)*30 + ($V92/$V$11)*40),2)),"")</f>
        <v/>
      </c>
      <c r="Y92" s="54">
        <f>IFERROR(IF(X92="","",ROUND(X92*$Y$11,2)),"")</f>
        <v/>
      </c>
      <c r="Z92" s="55">
        <f>IFERROR(M92+S92+Y92,"")</f>
        <v/>
      </c>
      <c r="AA92" s="274">
        <f>IFERROR(VLOOKUP(Z92,'Helper(IMPORTANT!)'!$CQ$1:$CR$41,2,TRUE),"")</f>
        <v/>
      </c>
      <c r="AB92" s="170">
        <f t="array" ref="AB92">IF(AA92="", "", _xlfn.IFS(AA92&gt;=90, "A", AA92&gt;=80, "B", AA92&gt;=75, "C", AA92&gt;=65, "D", AA92&gt;=0, "E"))</f>
        <v/>
      </c>
      <c r="AD92" s="39" t="n"/>
      <c r="AG92" s="38" t="n"/>
      <c r="AH92" s="38" t="n"/>
      <c r="AI92" s="38" t="n"/>
    </row>
    <row r="93" ht="18" customHeight="1">
      <c r="A93" s="169" t="n">
        <v>30</v>
      </c>
      <c r="B93" s="442">
        <f>'INPUT DATA'!O40</f>
        <v/>
      </c>
      <c r="C93" s="673" t="n"/>
      <c r="D93" s="673" t="n"/>
      <c r="E93" s="674" t="n"/>
      <c r="F93" s="52" t="n"/>
      <c r="G93" s="49" t="n"/>
      <c r="H93" s="49" t="n"/>
      <c r="I93" s="49" t="n"/>
      <c r="J93" s="49" t="n"/>
      <c r="K93" s="48">
        <f>IF(COUNT($F93:$J93)=0,"",SUM($F93:$J93))</f>
        <v/>
      </c>
      <c r="L93" s="47">
        <f>IFERROR(IF(K93="","",ROUND(K93/$K$11*100,2)),"")</f>
        <v/>
      </c>
      <c r="M93" s="54">
        <f>IFERROR(IF(L93="","",ROUND(L93*$M$11,2)),"")</f>
        <v/>
      </c>
      <c r="N93" s="52" t="n"/>
      <c r="O93" s="49" t="n"/>
      <c r="P93" s="49" t="n"/>
      <c r="Q93" s="48">
        <f>IF(COUNT($N93:$P93)=0,"",SUM($N93:$P93))</f>
        <v/>
      </c>
      <c r="R93" s="47">
        <f>IFERROR(IF(Q93="","",ROUND(Q93/$Q$11*100,2)),"")</f>
        <v/>
      </c>
      <c r="S93" s="54">
        <f>IFERROR(IF(R93="","",ROUND(R93*$S$11,2)),"")</f>
        <v/>
      </c>
      <c r="T93" s="265" t="n"/>
      <c r="U93" s="46" t="n"/>
      <c r="V93" s="268" t="n"/>
      <c r="W93" s="297">
        <f>IF(COUNT($T93:$V93)=0,"",SUM($T93:$V93))</f>
        <v/>
      </c>
      <c r="X93" s="352">
        <f>IFERROR(IF(W93="","",ROUND((($T93/$T$11)*30 + ($U93/$U$11)*30 + ($V93/$V$11)*40),2)),"")</f>
        <v/>
      </c>
      <c r="Y93" s="54">
        <f>IFERROR(IF(X93="","",ROUND(X93*$Y$11,2)),"")</f>
        <v/>
      </c>
      <c r="Z93" s="55">
        <f>IFERROR(M93+S93+Y93,"")</f>
        <v/>
      </c>
      <c r="AA93" s="274">
        <f>IFERROR(VLOOKUP(Z93,'Helper(IMPORTANT!)'!$CQ$1:$CR$41,2,TRUE),"")</f>
        <v/>
      </c>
      <c r="AB93" s="170">
        <f t="array" ref="AB93">IF(AA93="", "", _xlfn.IFS(AA93&gt;=90, "A", AA93&gt;=80, "B", AA93&gt;=75, "C", AA93&gt;=65, "D", AA93&gt;=0, "E"))</f>
        <v/>
      </c>
      <c r="AD93" s="39" t="n"/>
      <c r="AG93" s="38" t="n"/>
      <c r="AH93" s="38" t="n"/>
      <c r="AI93" s="38" t="n"/>
    </row>
    <row r="94" ht="18" customHeight="1">
      <c r="A94" s="169" t="n">
        <v>31</v>
      </c>
      <c r="B94" s="442">
        <f>'INPUT DATA'!O41</f>
        <v/>
      </c>
      <c r="C94" s="673" t="n"/>
      <c r="D94" s="673" t="n"/>
      <c r="E94" s="674" t="n"/>
      <c r="F94" s="52" t="n"/>
      <c r="G94" s="49" t="n"/>
      <c r="H94" s="49" t="n"/>
      <c r="I94" s="49" t="n"/>
      <c r="J94" s="49" t="n"/>
      <c r="K94" s="48">
        <f>IF(COUNT($F94:$J94)=0,"",SUM($F94:$J94))</f>
        <v/>
      </c>
      <c r="L94" s="47">
        <f>IFERROR(IF(K94="","",ROUND(K94/$K$11*100,2)),"")</f>
        <v/>
      </c>
      <c r="M94" s="54">
        <f>IFERROR(IF(L94="","",ROUND(L94*$M$11,2)),"")</f>
        <v/>
      </c>
      <c r="N94" s="52" t="n"/>
      <c r="O94" s="49" t="n"/>
      <c r="P94" s="49" t="n"/>
      <c r="Q94" s="48">
        <f>IF(COUNT($N94:$P94)=0,"",SUM($N94:$P94))</f>
        <v/>
      </c>
      <c r="R94" s="47">
        <f>IFERROR(IF(Q94="","",ROUND(Q94/$Q$11*100,2)),"")</f>
        <v/>
      </c>
      <c r="S94" s="54">
        <f>IFERROR(IF(R94="","",ROUND(R94*$S$11,2)),"")</f>
        <v/>
      </c>
      <c r="T94" s="265" t="n"/>
      <c r="U94" s="46" t="n"/>
      <c r="V94" s="268" t="n"/>
      <c r="W94" s="297">
        <f>IF(COUNT($T94:$V94)=0,"",SUM($T94:$V94))</f>
        <v/>
      </c>
      <c r="X94" s="352">
        <f>IFERROR(IF(W94="","",ROUND((($T94/$T$11)*30 + ($U94/$U$11)*30 + ($V94/$V$11)*40),2)),"")</f>
        <v/>
      </c>
      <c r="Y94" s="54">
        <f>IFERROR(IF(X94="","",ROUND(X94*$Y$11,2)),"")</f>
        <v/>
      </c>
      <c r="Z94" s="55">
        <f>IFERROR(M94+S94+Y94,"")</f>
        <v/>
      </c>
      <c r="AA94" s="274">
        <f>IFERROR(VLOOKUP(Z94,'Helper(IMPORTANT!)'!$CQ$1:$CR$41,2,TRUE),"")</f>
        <v/>
      </c>
      <c r="AB94" s="170">
        <f t="array" ref="AB94">IF(AA94="", "", _xlfn.IFS(AA94&gt;=90, "A", AA94&gt;=80, "B", AA94&gt;=75, "C", AA94&gt;=65, "D", AA94&gt;=0, "E"))</f>
        <v/>
      </c>
      <c r="AD94" s="39" t="n"/>
      <c r="AG94" s="38" t="n"/>
      <c r="AH94" s="38" t="n"/>
      <c r="AI94" s="38" t="n"/>
    </row>
    <row r="95" ht="18" customHeight="1">
      <c r="A95" s="169" t="n">
        <v>32</v>
      </c>
      <c r="B95" s="442">
        <f>'INPUT DATA'!O42</f>
        <v/>
      </c>
      <c r="C95" s="673" t="n"/>
      <c r="D95" s="673" t="n"/>
      <c r="E95" s="674" t="n"/>
      <c r="F95" s="52" t="n"/>
      <c r="G95" s="49" t="n"/>
      <c r="H95" s="49" t="n"/>
      <c r="I95" s="49" t="n"/>
      <c r="J95" s="49" t="n"/>
      <c r="K95" s="48">
        <f>IF(COUNT($F95:$J95)=0,"",SUM($F95:$J95))</f>
        <v/>
      </c>
      <c r="L95" s="47">
        <f>IFERROR(IF(K95="","",ROUND(K95/$K$11*100,2)),"")</f>
        <v/>
      </c>
      <c r="M95" s="54">
        <f>IFERROR(IF(L95="","",ROUND(L95*$M$11,2)),"")</f>
        <v/>
      </c>
      <c r="N95" s="52" t="n"/>
      <c r="O95" s="49" t="n"/>
      <c r="P95" s="49" t="n"/>
      <c r="Q95" s="48">
        <f>IF(COUNT($N95:$P95)=0,"",SUM($N95:$P95))</f>
        <v/>
      </c>
      <c r="R95" s="47">
        <f>IFERROR(IF(Q95="","",ROUND(Q95/$Q$11*100,2)),"")</f>
        <v/>
      </c>
      <c r="S95" s="54">
        <f>IFERROR(IF(R95="","",ROUND(R95*$S$11,2)),"")</f>
        <v/>
      </c>
      <c r="T95" s="265" t="n"/>
      <c r="U95" s="46" t="n"/>
      <c r="V95" s="268" t="n"/>
      <c r="W95" s="297">
        <f>IF(COUNT($T95:$V95)=0,"",SUM($T95:$V95))</f>
        <v/>
      </c>
      <c r="X95" s="352">
        <f>IFERROR(IF(W95="","",ROUND((($T95/$T$11)*30 + ($U95/$U$11)*30 + ($V95/$V$11)*40),2)),"")</f>
        <v/>
      </c>
      <c r="Y95" s="54">
        <f>IFERROR(IF(X95="","",ROUND(X95*$Y$11,2)),"")</f>
        <v/>
      </c>
      <c r="Z95" s="55">
        <f>IFERROR(M95+S95+Y95,"")</f>
        <v/>
      </c>
      <c r="AA95" s="274">
        <f>IFERROR(VLOOKUP(Z95,'Helper(IMPORTANT!)'!$CQ$1:$CR$41,2,TRUE),"")</f>
        <v/>
      </c>
      <c r="AB95" s="170">
        <f t="array" ref="AB95">IF(AA95="", "", _xlfn.IFS(AA95&gt;=90, "A", AA95&gt;=80, "B", AA95&gt;=75, "C", AA95&gt;=65, "D", AA95&gt;=0, "E"))</f>
        <v/>
      </c>
      <c r="AD95" s="39" t="n"/>
      <c r="AG95" s="38" t="n"/>
      <c r="AH95" s="38" t="n"/>
      <c r="AI95" s="38" t="n"/>
    </row>
    <row r="96" ht="18" customHeight="1">
      <c r="A96" s="169" t="n">
        <v>33</v>
      </c>
      <c r="B96" s="442">
        <f>'INPUT DATA'!O43</f>
        <v/>
      </c>
      <c r="C96" s="673" t="n"/>
      <c r="D96" s="673" t="n"/>
      <c r="E96" s="674" t="n"/>
      <c r="F96" s="52" t="n"/>
      <c r="G96" s="49" t="n"/>
      <c r="H96" s="49" t="n"/>
      <c r="I96" s="49" t="n"/>
      <c r="J96" s="49" t="n"/>
      <c r="K96" s="48">
        <f>IF(COUNT($F96:$J96)=0,"",SUM($F96:$J96))</f>
        <v/>
      </c>
      <c r="L96" s="47">
        <f>IFERROR(IF(K96="","",ROUND(K96/$K$11*100,2)),"")</f>
        <v/>
      </c>
      <c r="M96" s="54">
        <f>IFERROR(IF(L96="","",ROUND(L96*$M$11,2)),"")</f>
        <v/>
      </c>
      <c r="N96" s="52" t="n"/>
      <c r="O96" s="49" t="n"/>
      <c r="P96" s="49" t="n"/>
      <c r="Q96" s="48">
        <f>IF(COUNT($N96:$P96)=0,"",SUM($N96:$P96))</f>
        <v/>
      </c>
      <c r="R96" s="47">
        <f>IFERROR(IF(Q96="","",ROUND(Q96/$Q$11*100,2)),"")</f>
        <v/>
      </c>
      <c r="S96" s="54">
        <f>IFERROR(IF(R96="","",ROUND(R96*$S$11,2)),"")</f>
        <v/>
      </c>
      <c r="T96" s="265" t="n"/>
      <c r="U96" s="46" t="n"/>
      <c r="V96" s="268" t="n"/>
      <c r="W96" s="297">
        <f>IF(COUNT($T96:$V96)=0,"",SUM($T96:$V96))</f>
        <v/>
      </c>
      <c r="X96" s="352">
        <f>IFERROR(IF(W96="","",ROUND((($T96/$T$11)*30 + ($U96/$U$11)*30 + ($V96/$V$11)*40),2)),"")</f>
        <v/>
      </c>
      <c r="Y96" s="54">
        <f>IFERROR(IF(X96="","",ROUND(X96*$Y$11,2)),"")</f>
        <v/>
      </c>
      <c r="Z96" s="55">
        <f>IFERROR(M96+S96+Y96,"")</f>
        <v/>
      </c>
      <c r="AA96" s="274">
        <f>IFERROR(VLOOKUP(Z96,'Helper(IMPORTANT!)'!$CQ$1:$CR$41,2,TRUE),"")</f>
        <v/>
      </c>
      <c r="AB96" s="170">
        <f t="array" ref="AB96">IF(AA96="", "", _xlfn.IFS(AA96&gt;=90, "A", AA96&gt;=80, "B", AA96&gt;=75, "C", AA96&gt;=65, "D", AA96&gt;=0, "E"))</f>
        <v/>
      </c>
      <c r="AD96" s="39" t="n"/>
      <c r="AG96" s="38" t="n"/>
      <c r="AH96" s="38" t="n"/>
      <c r="AI96" s="38" t="n"/>
    </row>
    <row r="97" ht="18" customHeight="1">
      <c r="A97" s="169" t="n">
        <v>34</v>
      </c>
      <c r="B97" s="442">
        <f>'INPUT DATA'!O44</f>
        <v/>
      </c>
      <c r="C97" s="673" t="n"/>
      <c r="D97" s="673" t="n"/>
      <c r="E97" s="674" t="n"/>
      <c r="F97" s="52" t="n"/>
      <c r="G97" s="49" t="n"/>
      <c r="H97" s="49" t="n"/>
      <c r="I97" s="49" t="n"/>
      <c r="J97" s="49" t="n"/>
      <c r="K97" s="48">
        <f>IF(COUNT($F97:$J97)=0,"",SUM($F97:$J97))</f>
        <v/>
      </c>
      <c r="L97" s="47">
        <f>IFERROR(IF(K97="","",ROUND(K97/$K$11*100,2)),"")</f>
        <v/>
      </c>
      <c r="M97" s="54">
        <f>IFERROR(IF(L97="","",ROUND(L97*$M$11,2)),"")</f>
        <v/>
      </c>
      <c r="N97" s="52" t="n"/>
      <c r="O97" s="49" t="n"/>
      <c r="P97" s="49" t="n"/>
      <c r="Q97" s="48">
        <f>IF(COUNT($N97:$P97)=0,"",SUM($N97:$P97))</f>
        <v/>
      </c>
      <c r="R97" s="47">
        <f>IFERROR(IF(Q97="","",ROUND(Q97/$Q$11*100,2)),"")</f>
        <v/>
      </c>
      <c r="S97" s="54">
        <f>IFERROR(IF(R97="","",ROUND(R97*$S$11,2)),"")</f>
        <v/>
      </c>
      <c r="T97" s="265" t="n"/>
      <c r="U97" s="46" t="n"/>
      <c r="V97" s="268" t="n"/>
      <c r="W97" s="297">
        <f>IF(COUNT($T97:$V97)=0,"",SUM($T97:$V97))</f>
        <v/>
      </c>
      <c r="X97" s="352">
        <f>IFERROR(IF(W97="","",ROUND((($T97/$T$11)*30 + ($U97/$U$11)*30 + ($V97/$V$11)*40),2)),"")</f>
        <v/>
      </c>
      <c r="Y97" s="54">
        <f>IFERROR(IF(X97="","",ROUND(X97*$Y$11,2)),"")</f>
        <v/>
      </c>
      <c r="Z97" s="55">
        <f>IFERROR(M97+S97+Y97,"")</f>
        <v/>
      </c>
      <c r="AA97" s="274">
        <f>IFERROR(VLOOKUP(Z97,'Helper(IMPORTANT!)'!$CQ$1:$CR$41,2,TRUE),"")</f>
        <v/>
      </c>
      <c r="AB97" s="170">
        <f t="array" ref="AB97">IF(AA97="", "", _xlfn.IFS(AA97&gt;=90, "A", AA97&gt;=80, "B", AA97&gt;=75, "C", AA97&gt;=65, "D", AA97&gt;=0, "E"))</f>
        <v/>
      </c>
      <c r="AD97" s="39" t="n"/>
      <c r="AG97" s="38" t="n"/>
      <c r="AH97" s="38" t="n"/>
      <c r="AI97" s="38" t="n"/>
    </row>
    <row r="98" ht="18" customHeight="1">
      <c r="A98" s="169" t="n">
        <v>35</v>
      </c>
      <c r="B98" s="442">
        <f>'INPUT DATA'!O45</f>
        <v/>
      </c>
      <c r="C98" s="673" t="n"/>
      <c r="D98" s="673" t="n"/>
      <c r="E98" s="674" t="n"/>
      <c r="F98" s="52" t="n"/>
      <c r="G98" s="49" t="n"/>
      <c r="H98" s="49" t="n"/>
      <c r="I98" s="49" t="n"/>
      <c r="J98" s="49" t="n"/>
      <c r="K98" s="48">
        <f>IF(COUNT($F98:$J98)=0,"",SUM($F98:$J98))</f>
        <v/>
      </c>
      <c r="L98" s="47">
        <f>IFERROR(IF(K98="","",ROUND(K98/$K$11*100,2)),"")</f>
        <v/>
      </c>
      <c r="M98" s="54">
        <f>IFERROR(IF(L98="","",ROUND(L98*$M$11,2)),"")</f>
        <v/>
      </c>
      <c r="N98" s="52" t="n"/>
      <c r="O98" s="49" t="n"/>
      <c r="P98" s="49" t="n"/>
      <c r="Q98" s="48">
        <f>IF(COUNT($N98:$P98)=0,"",SUM($N98:$P98))</f>
        <v/>
      </c>
      <c r="R98" s="47">
        <f>IFERROR(IF(Q98="","",ROUND(Q98/$Q$11*100,2)),"")</f>
        <v/>
      </c>
      <c r="S98" s="54">
        <f>IFERROR(IF(R98="","",ROUND(R98*$S$11,2)),"")</f>
        <v/>
      </c>
      <c r="T98" s="265" t="n"/>
      <c r="U98" s="46" t="n"/>
      <c r="V98" s="268" t="n"/>
      <c r="W98" s="297">
        <f>IF(COUNT($T98:$V98)=0,"",SUM($T98:$V98))</f>
        <v/>
      </c>
      <c r="X98" s="352">
        <f>IFERROR(IF(W98="","",ROUND((($T98/$T$11)*30 + ($U98/$U$11)*30 + ($V98/$V$11)*40),2)),"")</f>
        <v/>
      </c>
      <c r="Y98" s="54">
        <f>IFERROR(IF(X98="","",ROUND(X98*$Y$11,2)),"")</f>
        <v/>
      </c>
      <c r="Z98" s="55">
        <f>IFERROR(M98+S98+Y98,"")</f>
        <v/>
      </c>
      <c r="AA98" s="274">
        <f>IFERROR(VLOOKUP(Z98,'Helper(IMPORTANT!)'!$CQ$1:$CR$41,2,TRUE),"")</f>
        <v/>
      </c>
      <c r="AB98" s="170">
        <f t="array" ref="AB98">IF(AA98="", "", _xlfn.IFS(AA98&gt;=90, "A", AA98&gt;=80, "B", AA98&gt;=75, "C", AA98&gt;=65, "D", AA98&gt;=0, "E"))</f>
        <v/>
      </c>
      <c r="AD98" s="39" t="n"/>
      <c r="AG98" s="38" t="n"/>
      <c r="AH98" s="38" t="n"/>
      <c r="AI98" s="38" t="n"/>
    </row>
    <row r="99" ht="18" customHeight="1">
      <c r="A99" s="169" t="n">
        <v>36</v>
      </c>
      <c r="B99" s="442">
        <f>'INPUT DATA'!O46</f>
        <v/>
      </c>
      <c r="C99" s="673" t="n"/>
      <c r="D99" s="673" t="n"/>
      <c r="E99" s="674" t="n"/>
      <c r="F99" s="52" t="n"/>
      <c r="G99" s="49" t="n"/>
      <c r="H99" s="49" t="n"/>
      <c r="I99" s="49" t="n"/>
      <c r="J99" s="49" t="n"/>
      <c r="K99" s="48">
        <f>IF(COUNT($F99:$J99)=0,"",SUM($F99:$J99))</f>
        <v/>
      </c>
      <c r="L99" s="47">
        <f>IFERROR(IF(K99="","",ROUND(K99/$K$11*100,2)),"")</f>
        <v/>
      </c>
      <c r="M99" s="54">
        <f>IFERROR(IF(L99="","",ROUND(L99*$M$11,2)),"")</f>
        <v/>
      </c>
      <c r="N99" s="52" t="n"/>
      <c r="O99" s="49" t="n"/>
      <c r="P99" s="49" t="n"/>
      <c r="Q99" s="48">
        <f>IF(COUNT($N99:$P99)=0,"",SUM($N99:$P99))</f>
        <v/>
      </c>
      <c r="R99" s="47">
        <f>IFERROR(IF(Q99="","",ROUND(Q99/$Q$11*100,2)),"")</f>
        <v/>
      </c>
      <c r="S99" s="54">
        <f>IFERROR(IF(R99="","",ROUND(R99*$S$11,2)),"")</f>
        <v/>
      </c>
      <c r="T99" s="265" t="n"/>
      <c r="U99" s="46" t="n"/>
      <c r="V99" s="268" t="n"/>
      <c r="W99" s="297">
        <f>IF(COUNT($T99:$V99)=0,"",SUM($T99:$V99))</f>
        <v/>
      </c>
      <c r="X99" s="352">
        <f>IFERROR(IF(W99="","",ROUND((($T99/$T$11)*30 + ($U99/$U$11)*30 + ($V99/$V$11)*40),2)),"")</f>
        <v/>
      </c>
      <c r="Y99" s="54">
        <f>IFERROR(IF(X99="","",ROUND(X99*$Y$11,2)),"")</f>
        <v/>
      </c>
      <c r="Z99" s="55">
        <f>IFERROR(M99+S99+Y99,"")</f>
        <v/>
      </c>
      <c r="AA99" s="274">
        <f>IFERROR(VLOOKUP(Z99,'Helper(IMPORTANT!)'!$CQ$1:$CR$41,2,TRUE),"")</f>
        <v/>
      </c>
      <c r="AB99" s="170">
        <f t="array" ref="AB99">IF(AA99="", "", _xlfn.IFS(AA99&gt;=90, "A", AA99&gt;=80, "B", AA99&gt;=75, "C", AA99&gt;=65, "D", AA99&gt;=0, "E"))</f>
        <v/>
      </c>
      <c r="AD99" s="39" t="n"/>
      <c r="AG99" s="38" t="n"/>
      <c r="AH99" s="38" t="n"/>
      <c r="AI99" s="38" t="n"/>
    </row>
    <row r="100" ht="18" customHeight="1">
      <c r="A100" s="169" t="n">
        <v>37</v>
      </c>
      <c r="B100" s="442">
        <f>'INPUT DATA'!O47</f>
        <v/>
      </c>
      <c r="C100" s="673" t="n"/>
      <c r="D100" s="673" t="n"/>
      <c r="E100" s="674" t="n"/>
      <c r="F100" s="52" t="n"/>
      <c r="G100" s="49" t="n"/>
      <c r="H100" s="49" t="n"/>
      <c r="I100" s="49" t="n"/>
      <c r="J100" s="49" t="n"/>
      <c r="K100" s="48">
        <f>IF(COUNT($F100:$J100)=0,"",SUM($F100:$J100))</f>
        <v/>
      </c>
      <c r="L100" s="47">
        <f>IFERROR(IF(K100="","",ROUND(K100/$K$11*100,2)),"")</f>
        <v/>
      </c>
      <c r="M100" s="54">
        <f>IFERROR(IF(L100="","",ROUND(L100*$M$11,2)),"")</f>
        <v/>
      </c>
      <c r="N100" s="52" t="n"/>
      <c r="O100" s="49" t="n"/>
      <c r="P100" s="49" t="n"/>
      <c r="Q100" s="48">
        <f>IF(COUNT($N100:$P100)=0,"",SUM($N100:$P100))</f>
        <v/>
      </c>
      <c r="R100" s="47">
        <f>IFERROR(IF(Q100="","",ROUND(Q100/$Q$11*100,2)),"")</f>
        <v/>
      </c>
      <c r="S100" s="54">
        <f>IFERROR(IF(R100="","",ROUND(R100*$S$11,2)),"")</f>
        <v/>
      </c>
      <c r="T100" s="265" t="n"/>
      <c r="U100" s="46" t="n"/>
      <c r="V100" s="268" t="n"/>
      <c r="W100" s="297">
        <f>IF(COUNT($T100:$V100)=0,"",SUM($T100:$V100))</f>
        <v/>
      </c>
      <c r="X100" s="352">
        <f>IFERROR(IF(W100="","",ROUND((($T100/$T$11)*30 + ($U100/$U$11)*30 + ($V100/$V$11)*40),2)),"")</f>
        <v/>
      </c>
      <c r="Y100" s="54">
        <f>IFERROR(IF(X100="","",ROUND(X100*$Y$11,2)),"")</f>
        <v/>
      </c>
      <c r="Z100" s="55">
        <f>IFERROR(M100+S100+Y100,"")</f>
        <v/>
      </c>
      <c r="AA100" s="274">
        <f>IFERROR(VLOOKUP(Z100,'Helper(IMPORTANT!)'!$CQ$1:$CR$41,2,TRUE),"")</f>
        <v/>
      </c>
      <c r="AB100" s="170">
        <f t="array" ref="AB100">IF(AA100="", "", _xlfn.IFS(AA100&gt;=90, "A", AA100&gt;=80, "B", AA100&gt;=75, "C", AA100&gt;=65, "D", AA100&gt;=0, "E"))</f>
        <v/>
      </c>
      <c r="AD100" s="39" t="n"/>
      <c r="AG100" s="38" t="n"/>
      <c r="AH100" s="38" t="n"/>
      <c r="AI100" s="38" t="n"/>
    </row>
    <row r="101" ht="18" customHeight="1">
      <c r="A101" s="169" t="n">
        <v>38</v>
      </c>
      <c r="B101" s="442">
        <f>'INPUT DATA'!O48</f>
        <v/>
      </c>
      <c r="C101" s="673" t="n"/>
      <c r="D101" s="673" t="n"/>
      <c r="E101" s="674" t="n"/>
      <c r="F101" s="52" t="n"/>
      <c r="G101" s="49" t="n"/>
      <c r="H101" s="49" t="n"/>
      <c r="I101" s="49" t="n"/>
      <c r="J101" s="49" t="n"/>
      <c r="K101" s="48">
        <f>IF(COUNT($F101:$J101)=0,"",SUM($F101:$J101))</f>
        <v/>
      </c>
      <c r="L101" s="47">
        <f>IFERROR(IF(K101="","",ROUND(K101/$K$11*100,2)),"")</f>
        <v/>
      </c>
      <c r="M101" s="54">
        <f>IFERROR(IF(L101="","",ROUND(L101*$M$11,2)),"")</f>
        <v/>
      </c>
      <c r="N101" s="52" t="n"/>
      <c r="O101" s="49" t="n"/>
      <c r="P101" s="49" t="n"/>
      <c r="Q101" s="48">
        <f>IF(COUNT($N101:$P101)=0,"",SUM($N101:$P101))</f>
        <v/>
      </c>
      <c r="R101" s="47">
        <f>IFERROR(IF(Q101="","",ROUND(Q101/$Q$11*100,2)),"")</f>
        <v/>
      </c>
      <c r="S101" s="54">
        <f>IFERROR(IF(R101="","",ROUND(R101*$S$11,2)),"")</f>
        <v/>
      </c>
      <c r="T101" s="265" t="n"/>
      <c r="U101" s="46" t="n"/>
      <c r="V101" s="268" t="n"/>
      <c r="W101" s="297">
        <f>IF(COUNT($T101:$V101)=0,"",SUM($T101:$V101))</f>
        <v/>
      </c>
      <c r="X101" s="352">
        <f>IFERROR(IF(W101="","",ROUND((($T101/$T$11)*30 + ($U101/$U$11)*30 + ($V101/$V$11)*40),2)),"")</f>
        <v/>
      </c>
      <c r="Y101" s="54">
        <f>IFERROR(IF(X101="","",ROUND(X101*$Y$11,2)),"")</f>
        <v/>
      </c>
      <c r="Z101" s="55">
        <f>IFERROR(M101+S101+Y101,"")</f>
        <v/>
      </c>
      <c r="AA101" s="274">
        <f>IFERROR(VLOOKUP(Z101,'Helper(IMPORTANT!)'!$CQ$1:$CR$41,2,TRUE),"")</f>
        <v/>
      </c>
      <c r="AB101" s="170">
        <f t="array" ref="AB101">IF(AA101="", "", _xlfn.IFS(AA101&gt;=90, "A", AA101&gt;=80, "B", AA101&gt;=75, "C", AA101&gt;=65, "D", AA101&gt;=0, "E"))</f>
        <v/>
      </c>
      <c r="AD101" s="39" t="n"/>
      <c r="AG101" s="38" t="n"/>
      <c r="AH101" s="38" t="n"/>
      <c r="AI101" s="38" t="n"/>
    </row>
    <row r="102" ht="18" customHeight="1">
      <c r="A102" s="169" t="n">
        <v>39</v>
      </c>
      <c r="B102" s="442">
        <f>'INPUT DATA'!O49</f>
        <v/>
      </c>
      <c r="C102" s="673" t="n"/>
      <c r="D102" s="673" t="n"/>
      <c r="E102" s="674" t="n"/>
      <c r="F102" s="52" t="n"/>
      <c r="G102" s="49" t="n"/>
      <c r="H102" s="49" t="n"/>
      <c r="I102" s="49" t="n"/>
      <c r="J102" s="49" t="n"/>
      <c r="K102" s="48">
        <f>IF(COUNT($F102:$J102)=0,"",SUM($F102:$J102))</f>
        <v/>
      </c>
      <c r="L102" s="47">
        <f>IFERROR(IF(K102="","",ROUND(K102/$K$11*100,2)),"")</f>
        <v/>
      </c>
      <c r="M102" s="54">
        <f>IFERROR(IF(L102="","",ROUND(L102*$M$11,2)),"")</f>
        <v/>
      </c>
      <c r="N102" s="52" t="n"/>
      <c r="O102" s="49" t="n"/>
      <c r="P102" s="49" t="n"/>
      <c r="Q102" s="48">
        <f>IF(COUNT($N102:$P102)=0,"",SUM($N102:$P102))</f>
        <v/>
      </c>
      <c r="R102" s="47">
        <f>IFERROR(IF(Q102="","",ROUND(Q102/$Q$11*100,2)),"")</f>
        <v/>
      </c>
      <c r="S102" s="54">
        <f>IFERROR(IF(R102="","",ROUND(R102*$S$11,2)),"")</f>
        <v/>
      </c>
      <c r="T102" s="265" t="n"/>
      <c r="U102" s="46" t="n"/>
      <c r="V102" s="268" t="n"/>
      <c r="W102" s="297">
        <f>IF(COUNT($T102:$V102)=0,"",SUM($T102:$V102))</f>
        <v/>
      </c>
      <c r="X102" s="352">
        <f>IFERROR(IF(W102="","",ROUND((($T102/$T$11)*30 + ($U102/$U$11)*30 + ($V102/$V$11)*40),2)),"")</f>
        <v/>
      </c>
      <c r="Y102" s="54">
        <f>IFERROR(IF(X102="","",ROUND(X102*$Y$11,2)),"")</f>
        <v/>
      </c>
      <c r="Z102" s="55">
        <f>IFERROR(M102+S102+Y102,"")</f>
        <v/>
      </c>
      <c r="AA102" s="274">
        <f>IFERROR(VLOOKUP(Z102,'Helper(IMPORTANT!)'!$CQ$1:$CR$41,2,TRUE),"")</f>
        <v/>
      </c>
      <c r="AB102" s="170">
        <f t="array" ref="AB102">IF(AA102="", "", _xlfn.IFS(AA102&gt;=90, "A", AA102&gt;=80, "B", AA102&gt;=75, "C", AA102&gt;=65, "D", AA102&gt;=0, "E"))</f>
        <v/>
      </c>
      <c r="AD102" s="39" t="n"/>
      <c r="AG102" s="38" t="n"/>
      <c r="AH102" s="38" t="n"/>
      <c r="AI102" s="38" t="n"/>
    </row>
    <row r="103" ht="18" customHeight="1">
      <c r="A103" s="169" t="n">
        <v>40</v>
      </c>
      <c r="B103" s="442">
        <f>'INPUT DATA'!O50</f>
        <v/>
      </c>
      <c r="C103" s="673" t="n"/>
      <c r="D103" s="673" t="n"/>
      <c r="E103" s="674" t="n"/>
      <c r="F103" s="52" t="n"/>
      <c r="G103" s="49" t="n"/>
      <c r="H103" s="49" t="n"/>
      <c r="I103" s="49" t="n"/>
      <c r="J103" s="49" t="n"/>
      <c r="K103" s="48">
        <f>IF(COUNT($F103:$J103)=0,"",SUM($F103:$J103))</f>
        <v/>
      </c>
      <c r="L103" s="47">
        <f>IFERROR(IF(K103="","",ROUND(K103/$K$11*100,2)),"")</f>
        <v/>
      </c>
      <c r="M103" s="54">
        <f>IFERROR(IF(L103="","",ROUND(L103*$M$11,2)),"")</f>
        <v/>
      </c>
      <c r="N103" s="52" t="n"/>
      <c r="O103" s="49" t="n"/>
      <c r="P103" s="49" t="n"/>
      <c r="Q103" s="48">
        <f>IF(COUNT($N103:$P103)=0,"",SUM($N103:$P103))</f>
        <v/>
      </c>
      <c r="R103" s="47">
        <f>IFERROR(IF(Q103="","",ROUND(Q103/$Q$11*100,2)),"")</f>
        <v/>
      </c>
      <c r="S103" s="54">
        <f>IFERROR(IF(R103="","",ROUND(R103*$S$11,2)),"")</f>
        <v/>
      </c>
      <c r="T103" s="265" t="n"/>
      <c r="U103" s="46" t="n"/>
      <c r="V103" s="268" t="n"/>
      <c r="W103" s="297">
        <f>IF(COUNT($T103:$V103)=0,"",SUM($T103:$V103))</f>
        <v/>
      </c>
      <c r="X103" s="352">
        <f>IFERROR(IF(W103="","",ROUND((($T103/$T$11)*30 + ($U103/$U$11)*30 + ($V103/$V$11)*40),2)),"")</f>
        <v/>
      </c>
      <c r="Y103" s="54">
        <f>IFERROR(IF(X103="","",ROUND(X103*$Y$11,2)),"")</f>
        <v/>
      </c>
      <c r="Z103" s="55">
        <f>IFERROR(M103+S103+Y103,"")</f>
        <v/>
      </c>
      <c r="AA103" s="274">
        <f>IFERROR(VLOOKUP(Z103,'Helper(IMPORTANT!)'!$CQ$1:$CR$41,2,TRUE),"")</f>
        <v/>
      </c>
      <c r="AB103" s="170">
        <f t="array" ref="AB103">IF(AA103="", "", _xlfn.IFS(AA103&gt;=90, "A", AA103&gt;=80, "B", AA103&gt;=75, "C", AA103&gt;=65, "D", AA103&gt;=0, "E"))</f>
        <v/>
      </c>
      <c r="AD103" s="39" t="n"/>
      <c r="AG103" s="38" t="n"/>
      <c r="AH103" s="38" t="n"/>
      <c r="AI103" s="38" t="n"/>
    </row>
    <row r="104" ht="18" customHeight="1">
      <c r="A104" s="169" t="n">
        <v>41</v>
      </c>
      <c r="B104" s="442">
        <f>'INPUT DATA'!O51</f>
        <v/>
      </c>
      <c r="C104" s="673" t="n"/>
      <c r="D104" s="673" t="n"/>
      <c r="E104" s="674" t="n"/>
      <c r="F104" s="52" t="n"/>
      <c r="G104" s="49" t="n"/>
      <c r="H104" s="49" t="n"/>
      <c r="I104" s="49" t="n"/>
      <c r="J104" s="49" t="n"/>
      <c r="K104" s="48">
        <f>IF(COUNT($F104:$J104)=0,"",SUM($F104:$J104))</f>
        <v/>
      </c>
      <c r="L104" s="47">
        <f>IFERROR(IF(K104="","",ROUND(K104/$K$11*100,2)),"")</f>
        <v/>
      </c>
      <c r="M104" s="54">
        <f>IFERROR(IF(L104="","",ROUND(L104*$M$11,2)),"")</f>
        <v/>
      </c>
      <c r="N104" s="52" t="n"/>
      <c r="O104" s="49" t="n"/>
      <c r="P104" s="49" t="n"/>
      <c r="Q104" s="48">
        <f>IF(COUNT($N104:$P104)=0,"",SUM($N104:$P104))</f>
        <v/>
      </c>
      <c r="R104" s="47">
        <f>IFERROR(IF(Q104="","",ROUND(Q104/$Q$11*100,2)),"")</f>
        <v/>
      </c>
      <c r="S104" s="54">
        <f>IFERROR(IF(R104="","",ROUND(R104*$S$11,2)),"")</f>
        <v/>
      </c>
      <c r="T104" s="265" t="n"/>
      <c r="U104" s="46" t="n"/>
      <c r="V104" s="268" t="n"/>
      <c r="W104" s="297">
        <f>IF(COUNT($T104:$V104)=0,"",SUM($T104:$V104))</f>
        <v/>
      </c>
      <c r="X104" s="352">
        <f>IFERROR(IF(W104="","",ROUND((($T104/$T$11)*30 + ($U104/$U$11)*30 + ($V104/$V$11)*40),2)),"")</f>
        <v/>
      </c>
      <c r="Y104" s="54">
        <f>IFERROR(IF(X104="","",ROUND(X104*$Y$11,2)),"")</f>
        <v/>
      </c>
      <c r="Z104" s="55">
        <f>IFERROR(M104+S104+Y104,"")</f>
        <v/>
      </c>
      <c r="AA104" s="274">
        <f>IFERROR(VLOOKUP(Z104,'Helper(IMPORTANT!)'!$CQ$1:$CR$41,2,TRUE),"")</f>
        <v/>
      </c>
      <c r="AB104" s="170">
        <f t="array" ref="AB104">IF(AA104="", "", _xlfn.IFS(AA104&gt;=90, "A", AA104&gt;=80, "B", AA104&gt;=75, "C", AA104&gt;=65, "D", AA104&gt;=0, "E"))</f>
        <v/>
      </c>
      <c r="AD104" s="39" t="n"/>
      <c r="AG104" s="38" t="n"/>
      <c r="AH104" s="38" t="n"/>
      <c r="AI104" s="38" t="n"/>
    </row>
    <row r="105" ht="18" customHeight="1">
      <c r="A105" s="169" t="n">
        <v>42</v>
      </c>
      <c r="B105" s="442">
        <f>'INPUT DATA'!O52</f>
        <v/>
      </c>
      <c r="C105" s="673" t="n"/>
      <c r="D105" s="673" t="n"/>
      <c r="E105" s="674" t="n"/>
      <c r="F105" s="52" t="n"/>
      <c r="G105" s="49" t="n"/>
      <c r="H105" s="49" t="n"/>
      <c r="I105" s="49" t="n"/>
      <c r="J105" s="49" t="n"/>
      <c r="K105" s="48">
        <f>IF(COUNT($F105:$J105)=0,"",SUM($F105:$J105))</f>
        <v/>
      </c>
      <c r="L105" s="47">
        <f>IFERROR(IF(K105="","",ROUND(K105/$K$11*100,2)),"")</f>
        <v/>
      </c>
      <c r="M105" s="54">
        <f>IFERROR(IF(L105="","",ROUND(L105*$M$11,2)),"")</f>
        <v/>
      </c>
      <c r="N105" s="52" t="n"/>
      <c r="O105" s="49" t="n"/>
      <c r="P105" s="49" t="n"/>
      <c r="Q105" s="48">
        <f>IF(COUNT($N105:$P105)=0,"",SUM($N105:$P105))</f>
        <v/>
      </c>
      <c r="R105" s="47">
        <f>IFERROR(IF(Q105="","",ROUND(Q105/$Q$11*100,2)),"")</f>
        <v/>
      </c>
      <c r="S105" s="54">
        <f>IFERROR(IF(R105="","",ROUND(R105*$S$11,2)),"")</f>
        <v/>
      </c>
      <c r="T105" s="265" t="n"/>
      <c r="U105" s="46" t="n"/>
      <c r="V105" s="268" t="n"/>
      <c r="W105" s="297">
        <f>IF(COUNT($T105:$V105)=0,"",SUM($T105:$V105))</f>
        <v/>
      </c>
      <c r="X105" s="352">
        <f>IFERROR(IF(W105="","",ROUND((($T105/$T$11)*30 + ($U105/$U$11)*30 + ($V105/$V$11)*40),2)),"")</f>
        <v/>
      </c>
      <c r="Y105" s="54">
        <f>IFERROR(IF(X105="","",ROUND(X105*$Y$11,2)),"")</f>
        <v/>
      </c>
      <c r="Z105" s="55">
        <f>IFERROR(M105+S105+Y105,"")</f>
        <v/>
      </c>
      <c r="AA105" s="274">
        <f>IFERROR(VLOOKUP(Z105,'Helper(IMPORTANT!)'!$CQ$1:$CR$41,2,TRUE),"")</f>
        <v/>
      </c>
      <c r="AB105" s="170">
        <f t="array" ref="AB105">IF(AA105="", "", _xlfn.IFS(AA105&gt;=90, "A", AA105&gt;=80, "B", AA105&gt;=75, "C", AA105&gt;=65, "D", AA105&gt;=0, "E"))</f>
        <v/>
      </c>
      <c r="AD105" s="39" t="n"/>
      <c r="AG105" s="38" t="n"/>
      <c r="AH105" s="38" t="n"/>
      <c r="AI105" s="38" t="n"/>
    </row>
    <row r="106" ht="18" customHeight="1">
      <c r="A106" s="169" t="n">
        <v>43</v>
      </c>
      <c r="B106" s="442">
        <f>'INPUT DATA'!O53</f>
        <v/>
      </c>
      <c r="C106" s="673" t="n"/>
      <c r="D106" s="673" t="n"/>
      <c r="E106" s="674" t="n"/>
      <c r="F106" s="52" t="n"/>
      <c r="G106" s="49" t="n"/>
      <c r="H106" s="49" t="n"/>
      <c r="I106" s="49" t="n"/>
      <c r="J106" s="49" t="n"/>
      <c r="K106" s="48">
        <f>IF(COUNT($F106:$J106)=0,"",SUM($F106:$J106))</f>
        <v/>
      </c>
      <c r="L106" s="47">
        <f>IFERROR(IF(K106="","",ROUND(K106/$K$11*100,2)),"")</f>
        <v/>
      </c>
      <c r="M106" s="54">
        <f>IFERROR(IF(L106="","",ROUND(L106*$M$11,2)),"")</f>
        <v/>
      </c>
      <c r="N106" s="52" t="n"/>
      <c r="O106" s="49" t="n"/>
      <c r="P106" s="49" t="n"/>
      <c r="Q106" s="48">
        <f>IF(COUNT($N106:$P106)=0,"",SUM($N106:$P106))</f>
        <v/>
      </c>
      <c r="R106" s="47">
        <f>IFERROR(IF(Q106="","",ROUND(Q106/$Q$11*100,2)),"")</f>
        <v/>
      </c>
      <c r="S106" s="54">
        <f>IFERROR(IF(R106="","",ROUND(R106*$S$11,2)),"")</f>
        <v/>
      </c>
      <c r="T106" s="265" t="n"/>
      <c r="U106" s="46" t="n"/>
      <c r="V106" s="268" t="n"/>
      <c r="W106" s="297">
        <f>IF(COUNT($T106:$V106)=0,"",SUM($T106:$V106))</f>
        <v/>
      </c>
      <c r="X106" s="352">
        <f>IFERROR(IF(W106="","",ROUND((($T106/$T$11)*30 + ($U106/$U$11)*30 + ($V106/$V$11)*40),2)),"")</f>
        <v/>
      </c>
      <c r="Y106" s="54">
        <f>IFERROR(IF(X106="","",ROUND(X106*$Y$11,2)),"")</f>
        <v/>
      </c>
      <c r="Z106" s="55">
        <f>IFERROR(M106+S106+Y106,"")</f>
        <v/>
      </c>
      <c r="AA106" s="274">
        <f>IFERROR(VLOOKUP(Z106,'Helper(IMPORTANT!)'!$CQ$1:$CR$41,2,TRUE),"")</f>
        <v/>
      </c>
      <c r="AB106" s="170">
        <f t="array" ref="AB106">IF(AA106="", "", _xlfn.IFS(AA106&gt;=90, "A", AA106&gt;=80, "B", AA106&gt;=75, "C", AA106&gt;=65, "D", AA106&gt;=0, "E"))</f>
        <v/>
      </c>
      <c r="AD106" s="39" t="n"/>
      <c r="AG106" s="38" t="n"/>
      <c r="AH106" s="38" t="n"/>
      <c r="AI106" s="38" t="n"/>
    </row>
    <row r="107" ht="18" customHeight="1">
      <c r="A107" s="169" t="n">
        <v>44</v>
      </c>
      <c r="B107" s="442">
        <f>'INPUT DATA'!O54</f>
        <v/>
      </c>
      <c r="C107" s="673" t="n"/>
      <c r="D107" s="673" t="n"/>
      <c r="E107" s="674" t="n"/>
      <c r="F107" s="52" t="n"/>
      <c r="G107" s="49" t="n"/>
      <c r="H107" s="49" t="n"/>
      <c r="I107" s="49" t="n"/>
      <c r="J107" s="49" t="n"/>
      <c r="K107" s="48">
        <f>IF(COUNT($F107:$J107)=0,"",SUM($F107:$J107))</f>
        <v/>
      </c>
      <c r="L107" s="47">
        <f>IFERROR(IF(K107="","",ROUND(K107/$K$11*100,2)),"")</f>
        <v/>
      </c>
      <c r="M107" s="54">
        <f>IFERROR(IF(L107="","",ROUND(L107*$M$11,2)),"")</f>
        <v/>
      </c>
      <c r="N107" s="52" t="n"/>
      <c r="O107" s="49" t="n"/>
      <c r="P107" s="49" t="n"/>
      <c r="Q107" s="48">
        <f>IF(COUNT($N107:$P107)=0,"",SUM($N107:$P107))</f>
        <v/>
      </c>
      <c r="R107" s="47">
        <f>IFERROR(IF(Q107="","",ROUND(Q107/$Q$11*100,2)),"")</f>
        <v/>
      </c>
      <c r="S107" s="54">
        <f>IFERROR(IF(R107="","",ROUND(R107*$S$11,2)),"")</f>
        <v/>
      </c>
      <c r="T107" s="265" t="n"/>
      <c r="U107" s="46" t="n"/>
      <c r="V107" s="268" t="n"/>
      <c r="W107" s="297">
        <f>IF(COUNT($T107:$V107)=0,"",SUM($T107:$V107))</f>
        <v/>
      </c>
      <c r="X107" s="352">
        <f>IFERROR(IF(W107="","",ROUND((($T107/$T$11)*30 + ($U107/$U$11)*30 + ($V107/$V$11)*40),2)),"")</f>
        <v/>
      </c>
      <c r="Y107" s="54">
        <f>IFERROR(IF(X107="","",ROUND(X107*$Y$11,2)),"")</f>
        <v/>
      </c>
      <c r="Z107" s="55">
        <f>IFERROR(M107+S107+Y107,"")</f>
        <v/>
      </c>
      <c r="AA107" s="274">
        <f>IFERROR(VLOOKUP(Z107,'Helper(IMPORTANT!)'!$CQ$1:$CR$41,2,TRUE),"")</f>
        <v/>
      </c>
      <c r="AB107" s="170">
        <f t="array" ref="AB107">IF(AA107="", "", _xlfn.IFS(AA107&gt;=90, "A", AA107&gt;=80, "B", AA107&gt;=75, "C", AA107&gt;=65, "D", AA107&gt;=0, "E"))</f>
        <v/>
      </c>
      <c r="AD107" s="39" t="n"/>
      <c r="AG107" s="38" t="n"/>
      <c r="AH107" s="38" t="n"/>
      <c r="AI107" s="38" t="n"/>
    </row>
    <row r="108" ht="18" customHeight="1">
      <c r="A108" s="169" t="n">
        <v>45</v>
      </c>
      <c r="B108" s="442">
        <f>'INPUT DATA'!O55</f>
        <v/>
      </c>
      <c r="C108" s="673" t="n"/>
      <c r="D108" s="673" t="n"/>
      <c r="E108" s="674" t="n"/>
      <c r="F108" s="52" t="n"/>
      <c r="G108" s="49" t="n"/>
      <c r="H108" s="49" t="n"/>
      <c r="I108" s="49" t="n"/>
      <c r="J108" s="49" t="n"/>
      <c r="K108" s="48">
        <f>IF(COUNT($F108:$J108)=0,"",SUM($F108:$J108))</f>
        <v/>
      </c>
      <c r="L108" s="47">
        <f>IFERROR(IF(K108="","",ROUND(K108/$K$11*100,2)),"")</f>
        <v/>
      </c>
      <c r="M108" s="54">
        <f>IFERROR(IF(L108="","",ROUND(L108*$M$11,2)),"")</f>
        <v/>
      </c>
      <c r="N108" s="52" t="n"/>
      <c r="O108" s="49" t="n"/>
      <c r="P108" s="49" t="n"/>
      <c r="Q108" s="48">
        <f>IF(COUNT($N108:$P108)=0,"",SUM($N108:$P108))</f>
        <v/>
      </c>
      <c r="R108" s="47">
        <f>IFERROR(IF(Q108="","",ROUND(Q108/$Q$11*100,2)),"")</f>
        <v/>
      </c>
      <c r="S108" s="54">
        <f>IFERROR(IF(R108="","",ROUND(R108*$S$11,2)),"")</f>
        <v/>
      </c>
      <c r="T108" s="265" t="n"/>
      <c r="U108" s="46" t="n"/>
      <c r="V108" s="268" t="n"/>
      <c r="W108" s="297">
        <f>IF(COUNT($T108:$V108)=0,"",SUM($T108:$V108))</f>
        <v/>
      </c>
      <c r="X108" s="352">
        <f>IFERROR(IF(W108="","",ROUND((($T108/$T$11)*30 + ($U108/$U$11)*30 + ($V108/$V$11)*40),2)),"")</f>
        <v/>
      </c>
      <c r="Y108" s="54">
        <f>IFERROR(IF(X108="","",ROUND(X108*$Y$11,2)),"")</f>
        <v/>
      </c>
      <c r="Z108" s="55">
        <f>IFERROR(M108+S108+Y108,"")</f>
        <v/>
      </c>
      <c r="AA108" s="274">
        <f>IFERROR(VLOOKUP(Z108,'Helper(IMPORTANT!)'!$CQ$1:$CR$41,2,TRUE),"")</f>
        <v/>
      </c>
      <c r="AB108" s="170">
        <f t="array" ref="AB108">IF(AA108="", "", _xlfn.IFS(AA108&gt;=90, "A", AA108&gt;=80, "B", AA108&gt;=75, "C", AA108&gt;=65, "D", AA108&gt;=0, "E"))</f>
        <v/>
      </c>
      <c r="AD108" s="39" t="n"/>
      <c r="AG108" s="38" t="n"/>
      <c r="AH108" s="38" t="n"/>
      <c r="AI108" s="38" t="n"/>
    </row>
    <row r="109" ht="18" customHeight="1">
      <c r="A109" s="169" t="n">
        <v>46</v>
      </c>
      <c r="B109" s="442">
        <f>'INPUT DATA'!O56</f>
        <v/>
      </c>
      <c r="C109" s="673" t="n"/>
      <c r="D109" s="673" t="n"/>
      <c r="E109" s="674" t="n"/>
      <c r="F109" s="52" t="n"/>
      <c r="G109" s="49" t="n"/>
      <c r="H109" s="49" t="n"/>
      <c r="I109" s="49" t="n"/>
      <c r="J109" s="49" t="n"/>
      <c r="K109" s="48">
        <f>IF(COUNT($F109:$J109)=0,"",SUM($F109:$J109))</f>
        <v/>
      </c>
      <c r="L109" s="47">
        <f>IFERROR(IF(K109="","",ROUND(K109/$K$11*100,2)),"")</f>
        <v/>
      </c>
      <c r="M109" s="54">
        <f>IFERROR(IF(L109="","",ROUND(L109*$M$11,2)),"")</f>
        <v/>
      </c>
      <c r="N109" s="52" t="n"/>
      <c r="O109" s="49" t="n"/>
      <c r="P109" s="49" t="n"/>
      <c r="Q109" s="48">
        <f>IF(COUNT($N109:$P109)=0,"",SUM($N109:$P109))</f>
        <v/>
      </c>
      <c r="R109" s="47">
        <f>IFERROR(IF(Q109="","",ROUND(Q109/$Q$11*100,2)),"")</f>
        <v/>
      </c>
      <c r="S109" s="54">
        <f>IFERROR(IF(R109="","",ROUND(R109*$S$11,2)),"")</f>
        <v/>
      </c>
      <c r="T109" s="265" t="n"/>
      <c r="U109" s="46" t="n"/>
      <c r="V109" s="268" t="n"/>
      <c r="W109" s="297">
        <f>IF(COUNT($T109:$V109)=0,"",SUM($T109:$V109))</f>
        <v/>
      </c>
      <c r="X109" s="352">
        <f>IFERROR(IF(W109="","",ROUND((($T109/$T$11)*30 + ($U109/$U$11)*30 + ($V109/$V$11)*40),2)),"")</f>
        <v/>
      </c>
      <c r="Y109" s="54">
        <f>IFERROR(IF(X109="","",ROUND(X109*$Y$11,2)),"")</f>
        <v/>
      </c>
      <c r="Z109" s="55">
        <f>IFERROR(M109+S109+Y109,"")</f>
        <v/>
      </c>
      <c r="AA109" s="274">
        <f>IFERROR(VLOOKUP(Z109,'Helper(IMPORTANT!)'!$CQ$1:$CR$41,2,TRUE),"")</f>
        <v/>
      </c>
      <c r="AB109" s="170">
        <f t="array" ref="AB109">IF(AA109="", "", _xlfn.IFS(AA109&gt;=90, "A", AA109&gt;=80, "B", AA109&gt;=75, "C", AA109&gt;=65, "D", AA109&gt;=0, "E"))</f>
        <v/>
      </c>
      <c r="AD109" s="39" t="n"/>
      <c r="AG109" s="38" t="n"/>
      <c r="AH109" s="38" t="n"/>
      <c r="AI109" s="38" t="n"/>
    </row>
    <row r="110" ht="18" customHeight="1">
      <c r="A110" s="169" t="n">
        <v>47</v>
      </c>
      <c r="B110" s="442">
        <f>'INPUT DATA'!O57</f>
        <v/>
      </c>
      <c r="C110" s="673" t="n"/>
      <c r="D110" s="673" t="n"/>
      <c r="E110" s="674" t="n"/>
      <c r="F110" s="52" t="n"/>
      <c r="G110" s="49" t="n"/>
      <c r="H110" s="49" t="n"/>
      <c r="I110" s="49" t="n"/>
      <c r="J110" s="49" t="n"/>
      <c r="K110" s="48">
        <f>IF(COUNT($F110:$J110)=0,"",SUM($F110:$J110))</f>
        <v/>
      </c>
      <c r="L110" s="47">
        <f>IFERROR(IF(K110="","",ROUND(K110/$K$11*100,2)),"")</f>
        <v/>
      </c>
      <c r="M110" s="54">
        <f>IFERROR(IF(L110="","",ROUND(L110*$M$11,2)),"")</f>
        <v/>
      </c>
      <c r="N110" s="52" t="n"/>
      <c r="O110" s="49" t="n"/>
      <c r="P110" s="49" t="n"/>
      <c r="Q110" s="48">
        <f>IF(COUNT($N110:$P110)=0,"",SUM($N110:$P110))</f>
        <v/>
      </c>
      <c r="R110" s="47">
        <f>IFERROR(IF(Q110="","",ROUND(Q110/$Q$11*100,2)),"")</f>
        <v/>
      </c>
      <c r="S110" s="54">
        <f>IFERROR(IF(R110="","",ROUND(R110*$S$11,2)),"")</f>
        <v/>
      </c>
      <c r="T110" s="265" t="n"/>
      <c r="U110" s="46" t="n"/>
      <c r="V110" s="268" t="n"/>
      <c r="W110" s="297">
        <f>IF(COUNT($T110:$V110)=0,"",SUM($T110:$V110))</f>
        <v/>
      </c>
      <c r="X110" s="352">
        <f>IFERROR(IF(W110="","",ROUND((($T110/$T$11)*30 + ($U110/$U$11)*30 + ($V110/$V$11)*40),2)),"")</f>
        <v/>
      </c>
      <c r="Y110" s="54">
        <f>IFERROR(IF(X110="","",ROUND(X110*$Y$11,2)),"")</f>
        <v/>
      </c>
      <c r="Z110" s="55">
        <f>IFERROR(M110+S110+Y110,"")</f>
        <v/>
      </c>
      <c r="AA110" s="274">
        <f>IFERROR(VLOOKUP(Z110,'Helper(IMPORTANT!)'!$CQ$1:$CR$41,2,TRUE),"")</f>
        <v/>
      </c>
      <c r="AB110" s="170">
        <f t="array" ref="AB110">IF(AA110="", "", _xlfn.IFS(AA110&gt;=90, "A", AA110&gt;=80, "B", AA110&gt;=75, "C", AA110&gt;=65, "D", AA110&gt;=0, "E"))</f>
        <v/>
      </c>
      <c r="AD110" s="39" t="n"/>
      <c r="AG110" s="38" t="n"/>
      <c r="AH110" s="38" t="n"/>
      <c r="AI110" s="38" t="n"/>
    </row>
    <row r="111" ht="18" customHeight="1">
      <c r="A111" s="169" t="n">
        <v>48</v>
      </c>
      <c r="B111" s="442">
        <f>'INPUT DATA'!O58</f>
        <v/>
      </c>
      <c r="C111" s="673" t="n"/>
      <c r="D111" s="673" t="n"/>
      <c r="E111" s="674" t="n"/>
      <c r="F111" s="52" t="n"/>
      <c r="G111" s="49" t="n"/>
      <c r="H111" s="49" t="n"/>
      <c r="I111" s="49" t="n"/>
      <c r="J111" s="49" t="n"/>
      <c r="K111" s="48">
        <f>IF(COUNT($F111:$J111)=0,"",SUM($F111:$J111))</f>
        <v/>
      </c>
      <c r="L111" s="47">
        <f>IFERROR(IF(K111="","",ROUND(K111/$K$11*100,2)),"")</f>
        <v/>
      </c>
      <c r="M111" s="54">
        <f>IFERROR(IF(L111="","",ROUND(L111*$M$11,2)),"")</f>
        <v/>
      </c>
      <c r="N111" s="52" t="n"/>
      <c r="O111" s="49" t="n"/>
      <c r="P111" s="49" t="n"/>
      <c r="Q111" s="48">
        <f>IF(COUNT($N111:$P111)=0,"",SUM($N111:$P111))</f>
        <v/>
      </c>
      <c r="R111" s="47">
        <f>IFERROR(IF(Q111="","",ROUND(Q111/$Q$11*100,2)),"")</f>
        <v/>
      </c>
      <c r="S111" s="54">
        <f>IFERROR(IF(R111="","",ROUND(R111*$S$11,2)),"")</f>
        <v/>
      </c>
      <c r="T111" s="265" t="n"/>
      <c r="U111" s="46" t="n"/>
      <c r="V111" s="268" t="n"/>
      <c r="W111" s="297">
        <f>IF(COUNT($T111:$V111)=0,"",SUM($T111:$V111))</f>
        <v/>
      </c>
      <c r="X111" s="352">
        <f>IFERROR(IF(W111="","",ROUND((($T111/$T$11)*30 + ($U111/$U$11)*30 + ($V111/$V$11)*40),2)),"")</f>
        <v/>
      </c>
      <c r="Y111" s="54">
        <f>IFERROR(IF(X111="","",ROUND(X111*$Y$11,2)),"")</f>
        <v/>
      </c>
      <c r="Z111" s="55">
        <f>IFERROR(M111+S111+Y111,"")</f>
        <v/>
      </c>
      <c r="AA111" s="274">
        <f>IFERROR(VLOOKUP(Z111,'Helper(IMPORTANT!)'!$CQ$1:$CR$41,2,TRUE),"")</f>
        <v/>
      </c>
      <c r="AB111" s="170">
        <f t="array" ref="AB111">IF(AA111="", "", _xlfn.IFS(AA111&gt;=90, "A", AA111&gt;=80, "B", AA111&gt;=75, "C", AA111&gt;=65, "D", AA111&gt;=0, "E"))</f>
        <v/>
      </c>
      <c r="AD111" s="39" t="n"/>
      <c r="AG111" s="38" t="n"/>
      <c r="AH111" s="38" t="n"/>
      <c r="AI111" s="38" t="n"/>
    </row>
    <row r="112" ht="18" customHeight="1">
      <c r="A112" s="169" t="n">
        <v>49</v>
      </c>
      <c r="B112" s="442">
        <f>'INPUT DATA'!O59</f>
        <v/>
      </c>
      <c r="C112" s="673" t="n"/>
      <c r="D112" s="673" t="n"/>
      <c r="E112" s="674" t="n"/>
      <c r="F112" s="52" t="n"/>
      <c r="G112" s="49" t="n"/>
      <c r="H112" s="49" t="n"/>
      <c r="I112" s="49" t="n"/>
      <c r="J112" s="49" t="n"/>
      <c r="K112" s="48">
        <f>IF(COUNT($F112:$J112)=0,"",SUM($F112:$J112))</f>
        <v/>
      </c>
      <c r="L112" s="47">
        <f>IFERROR(IF(K112="","",ROUND(K112/$K$11*100,2)),"")</f>
        <v/>
      </c>
      <c r="M112" s="54">
        <f>IFERROR(IF(L112="","",ROUND(L112*$M$11,2)),"")</f>
        <v/>
      </c>
      <c r="N112" s="52" t="n"/>
      <c r="O112" s="49" t="n"/>
      <c r="P112" s="49" t="n"/>
      <c r="Q112" s="48">
        <f>IF(COUNT($N112:$P112)=0,"",SUM($N112:$P112))</f>
        <v/>
      </c>
      <c r="R112" s="47">
        <f>IFERROR(IF(Q112="","",ROUND(Q112/$Q$11*100,2)),"")</f>
        <v/>
      </c>
      <c r="S112" s="54">
        <f>IFERROR(IF(R112="","",ROUND(R112*$S$11,2)),"")</f>
        <v/>
      </c>
      <c r="T112" s="265" t="n"/>
      <c r="U112" s="46" t="n"/>
      <c r="V112" s="268" t="n"/>
      <c r="W112" s="297">
        <f>IF(COUNT($T112:$V112)=0,"",SUM($T112:$V112))</f>
        <v/>
      </c>
      <c r="X112" s="352">
        <f>IFERROR(IF(W112="","",ROUND((($T112/$T$11)*30 + ($U112/$U$11)*30 + ($V112/$V$11)*40),2)),"")</f>
        <v/>
      </c>
      <c r="Y112" s="54">
        <f>IFERROR(IF(X112="","",ROUND(X112*$Y$11,2)),"")</f>
        <v/>
      </c>
      <c r="Z112" s="55">
        <f>IFERROR(M112+S112+Y112,"")</f>
        <v/>
      </c>
      <c r="AA112" s="274">
        <f>IFERROR(VLOOKUP(Z112,'Helper(IMPORTANT!)'!$CQ$1:$CR$41,2,TRUE),"")</f>
        <v/>
      </c>
      <c r="AB112" s="170">
        <f t="array" ref="AB112">IF(AA112="", "", _xlfn.IFS(AA112&gt;=90, "A", AA112&gt;=80, "B", AA112&gt;=75, "C", AA112&gt;=65, "D", AA112&gt;=0, "E"))</f>
        <v/>
      </c>
      <c r="AG112" s="38" t="n"/>
      <c r="AH112" s="38" t="n"/>
      <c r="AI112" s="38" t="n"/>
    </row>
    <row r="113" ht="18" customHeight="1" thickBot="1">
      <c r="A113" s="172" t="n">
        <v>50</v>
      </c>
      <c r="B113" s="444">
        <f>'INPUT DATA'!O60</f>
        <v/>
      </c>
      <c r="C113" s="677" t="n"/>
      <c r="D113" s="677" t="n"/>
      <c r="E113" s="678" t="n"/>
      <c r="F113" s="173" t="n"/>
      <c r="G113" s="174" t="n"/>
      <c r="H113" s="174" t="n"/>
      <c r="I113" s="174" t="n"/>
      <c r="J113" s="174" t="n"/>
      <c r="K113" s="175">
        <f>IF(COUNT($F113:$J113)=0,"",SUM($F113:$J113))</f>
        <v/>
      </c>
      <c r="L113" s="176">
        <f>IFERROR(IF(K113="","",ROUND(K113/$K$11*100,2)),"")</f>
        <v/>
      </c>
      <c r="M113" s="177">
        <f>IFERROR(IF(L113="","",ROUND(L113*$M$11,2)),"")</f>
        <v/>
      </c>
      <c r="N113" s="173" t="n"/>
      <c r="O113" s="174" t="n"/>
      <c r="P113" s="174" t="n"/>
      <c r="Q113" s="175">
        <f>IF(COUNT($N113:$P113)=0,"",SUM($N113:$P113))</f>
        <v/>
      </c>
      <c r="R113" s="176">
        <f>IFERROR(IF(Q113="","",ROUND(Q113/$Q$11*100,2)),"")</f>
        <v/>
      </c>
      <c r="S113" s="177">
        <f>IFERROR(IF(R113="","",ROUND(R113*$S$11,2)),"")</f>
        <v/>
      </c>
      <c r="T113" s="266" t="n"/>
      <c r="U113" s="284" t="n"/>
      <c r="V113" s="269" t="n"/>
      <c r="W113" s="298">
        <f>IF(COUNT($T113:$V113)=0,"",SUM($T113:$V113))</f>
        <v/>
      </c>
      <c r="X113" s="353">
        <f>IFERROR(IF(W113="","",ROUND((($T113/$T$11)*30 + ($U113/$U$11)*30 + ($V113/$V$11)*40),2)),"")</f>
        <v/>
      </c>
      <c r="Y113" s="177">
        <f>IFERROR(IF(X113="","",ROUND(X113*$Y$11,2)),"")</f>
        <v/>
      </c>
      <c r="Z113" s="178">
        <f>IFERROR(M113+S113+Y113,"")</f>
        <v/>
      </c>
      <c r="AA113" s="286">
        <f>IFERROR(VLOOKUP(Z113,'Helper(IMPORTANT!)'!$CQ$1:$CR$41,2,TRUE),"")</f>
        <v/>
      </c>
      <c r="AB113" s="179">
        <f t="array" ref="AB113">IF(AA113="", "", _xlfn.IFS(AA113&gt;=90, "A", AA113&gt;=80, "B", AA113&gt;=75, "C", AA113&gt;=65, "D", AA113&gt;=0, "E"))</f>
        <v/>
      </c>
      <c r="AG113" s="38" t="n"/>
      <c r="AH113" s="38" t="n"/>
      <c r="AI113" s="38" t="n"/>
    </row>
    <row r="114" hidden="1" ht="13.9" customHeight="1">
      <c r="U114" s="283" t="n"/>
    </row>
    <row r="115" hidden="1" ht="13.9" customHeight="1">
      <c r="U115" s="267" t="n"/>
    </row>
    <row r="116" hidden="1" ht="13.9" customHeight="1">
      <c r="U116" s="267" t="n"/>
    </row>
    <row r="117" hidden="1" ht="13.9" customHeight="1">
      <c r="U117" s="282" t="n"/>
    </row>
    <row r="118" ht="13.9" customHeight="1"/>
    <row r="119" ht="13.9" customHeight="1"/>
    <row r="120" ht="13.9" customHeight="1"/>
    <row r="121" ht="13.9" customHeight="1"/>
    <row r="122" ht="13.9" customHeight="1"/>
    <row r="123" ht="13.9" customHeight="1"/>
    <row r="124" ht="13.9" customHeight="1"/>
    <row r="125" ht="13.9" customHeight="1"/>
    <row r="126" ht="13.9" customHeight="1"/>
    <row r="127" ht="13.9" customHeight="1"/>
    <row r="128" ht="13.9" customHeight="1"/>
    <row r="129" ht="13.9" customHeight="1"/>
    <row r="130" ht="13.9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S/hAaATP3Oo1Z5tIYU6qA==" formatRows="1" sort="1" spinCount="100000" hashValue="qFxtllfJ0J4HVzafmXFykLTdWnb4U4PlsCGcPGikDU3QBr5tO28e6RrGe/9ZRw3vkRAda125D7IuOxu2Xa1iFg=="/>
  <mergeCells count="144">
    <mergeCell ref="Q7:R7"/>
    <mergeCell ref="AF20:AX20"/>
    <mergeCell ref="B65:E65"/>
    <mergeCell ref="AF14:AX14"/>
    <mergeCell ref="B74:E74"/>
    <mergeCell ref="B68:E68"/>
    <mergeCell ref="A11:E11"/>
    <mergeCell ref="B36:E36"/>
    <mergeCell ref="B76:E76"/>
    <mergeCell ref="B45:E45"/>
    <mergeCell ref="B110:E110"/>
    <mergeCell ref="Z9:Z11"/>
    <mergeCell ref="A63:AB63"/>
    <mergeCell ref="B113:E113"/>
    <mergeCell ref="B91:E91"/>
    <mergeCell ref="Z5:AB5"/>
    <mergeCell ref="B100:E100"/>
    <mergeCell ref="B109:E109"/>
    <mergeCell ref="B47:E47"/>
    <mergeCell ref="B22:E22"/>
    <mergeCell ref="B93:E93"/>
    <mergeCell ref="B31:E31"/>
    <mergeCell ref="B102:E102"/>
    <mergeCell ref="B21:E21"/>
    <mergeCell ref="B86:E86"/>
    <mergeCell ref="B39:E39"/>
    <mergeCell ref="B101:E101"/>
    <mergeCell ref="B14:E14"/>
    <mergeCell ref="B23:E23"/>
    <mergeCell ref="A7:E8"/>
    <mergeCell ref="AF10:AX10"/>
    <mergeCell ref="B13:E13"/>
    <mergeCell ref="B69:E69"/>
    <mergeCell ref="B38:E38"/>
    <mergeCell ref="B78:E78"/>
    <mergeCell ref="B112:E112"/>
    <mergeCell ref="B87:E87"/>
    <mergeCell ref="A3:AB3"/>
    <mergeCell ref="A12:AB12"/>
    <mergeCell ref="Z7:AB7"/>
    <mergeCell ref="B40:E40"/>
    <mergeCell ref="B49:E49"/>
    <mergeCell ref="B64:E64"/>
    <mergeCell ref="B33:E33"/>
    <mergeCell ref="B104:E104"/>
    <mergeCell ref="A1:AB2"/>
    <mergeCell ref="B51:E51"/>
    <mergeCell ref="X8:Y8"/>
    <mergeCell ref="AF17:AX17"/>
    <mergeCell ref="Z8:AB8"/>
    <mergeCell ref="B32:E32"/>
    <mergeCell ref="B26:E26"/>
    <mergeCell ref="B41:E41"/>
    <mergeCell ref="B35:E35"/>
    <mergeCell ref="B50:E50"/>
    <mergeCell ref="B106:E106"/>
    <mergeCell ref="AF22:AX22"/>
    <mergeCell ref="B16:E16"/>
    <mergeCell ref="AF19:AX19"/>
    <mergeCell ref="B25:E25"/>
    <mergeCell ref="B90:E90"/>
    <mergeCell ref="B66:E66"/>
    <mergeCell ref="B18:E18"/>
    <mergeCell ref="B27:E27"/>
    <mergeCell ref="F7:J8"/>
    <mergeCell ref="B77:E77"/>
    <mergeCell ref="B67:E67"/>
    <mergeCell ref="B61:E61"/>
    <mergeCell ref="B53:E53"/>
    <mergeCell ref="B29:E29"/>
    <mergeCell ref="B103:E103"/>
    <mergeCell ref="B37:E37"/>
    <mergeCell ref="B84:E84"/>
    <mergeCell ref="AF21:AX21"/>
    <mergeCell ref="T9:Y9"/>
    <mergeCell ref="B15:E15"/>
    <mergeCell ref="B55:E55"/>
    <mergeCell ref="AF23:AX23"/>
    <mergeCell ref="B24:E24"/>
    <mergeCell ref="B80:E80"/>
    <mergeCell ref="B95:E95"/>
    <mergeCell ref="B89:E89"/>
    <mergeCell ref="X7:Y7"/>
    <mergeCell ref="B79:E79"/>
    <mergeCell ref="S8:W8"/>
    <mergeCell ref="B97:E97"/>
    <mergeCell ref="B54:E54"/>
    <mergeCell ref="B72:E72"/>
    <mergeCell ref="B81:E81"/>
    <mergeCell ref="AF18:AX18"/>
    <mergeCell ref="A9:E10"/>
    <mergeCell ref="B56:E56"/>
    <mergeCell ref="B71:E71"/>
    <mergeCell ref="B105:E105"/>
    <mergeCell ref="B43:E43"/>
    <mergeCell ref="B58:E58"/>
    <mergeCell ref="B52:E52"/>
    <mergeCell ref="B42:E42"/>
    <mergeCell ref="B107:E107"/>
    <mergeCell ref="B60:E60"/>
    <mergeCell ref="B17:E17"/>
    <mergeCell ref="B57:E57"/>
    <mergeCell ref="AF25:AX25"/>
    <mergeCell ref="AB9:AB11"/>
    <mergeCell ref="B44:E44"/>
    <mergeCell ref="B19:E19"/>
    <mergeCell ref="B34:E34"/>
    <mergeCell ref="B28:E28"/>
    <mergeCell ref="B99:E99"/>
    <mergeCell ref="G5:M5"/>
    <mergeCell ref="AF15:AX15"/>
    <mergeCell ref="B108:E108"/>
    <mergeCell ref="K7:P8"/>
    <mergeCell ref="B83:E83"/>
    <mergeCell ref="B92:E92"/>
    <mergeCell ref="B30:E30"/>
    <mergeCell ref="G4:M4"/>
    <mergeCell ref="B20:E20"/>
    <mergeCell ref="AF26:AX26"/>
    <mergeCell ref="B85:E85"/>
    <mergeCell ref="Q8:R8"/>
    <mergeCell ref="B94:E94"/>
    <mergeCell ref="R5:U5"/>
    <mergeCell ref="B75:E75"/>
    <mergeCell ref="S7:W7"/>
    <mergeCell ref="AF13:AX13"/>
    <mergeCell ref="B62:E62"/>
    <mergeCell ref="B59:E59"/>
    <mergeCell ref="N9:S9"/>
    <mergeCell ref="B46:E46"/>
    <mergeCell ref="R4:U4"/>
    <mergeCell ref="AF24:AX24"/>
    <mergeCell ref="B96:E96"/>
    <mergeCell ref="B70:E70"/>
    <mergeCell ref="B48:E48"/>
    <mergeCell ref="B111:E111"/>
    <mergeCell ref="AA9:AA11"/>
    <mergeCell ref="B98:E98"/>
    <mergeCell ref="F9:M9"/>
    <mergeCell ref="AF16:AX16"/>
    <mergeCell ref="B73:E73"/>
    <mergeCell ref="B88:E88"/>
    <mergeCell ref="W5:Y5"/>
    <mergeCell ref="B82:E82"/>
  </mergeCells>
  <conditionalFormatting sqref="B13:E62">
    <cfRule type="expression" priority="15" dxfId="2">
      <formula>IF($AB13&lt;75,TRUE,FALSE)</formula>
    </cfRule>
  </conditionalFormatting>
  <conditionalFormatting sqref="B64:E113">
    <cfRule type="expression" priority="14" dxfId="2">
      <formula>IF($AB64&lt;75,TRUE,FALSE)</formula>
    </cfRule>
  </conditionalFormatting>
  <conditionalFormatting sqref="L13:L62">
    <cfRule type="cellIs" priority="13" operator="lessThan" dxfId="0">
      <formula>60</formula>
    </cfRule>
  </conditionalFormatting>
  <conditionalFormatting sqref="L64:L113">
    <cfRule type="cellIs" priority="12" operator="lessThan" dxfId="0">
      <formula>60</formula>
    </cfRule>
  </conditionalFormatting>
  <conditionalFormatting sqref="R13:R62">
    <cfRule type="cellIs" priority="11" operator="lessThan" dxfId="0">
      <formula>60</formula>
    </cfRule>
  </conditionalFormatting>
  <conditionalFormatting sqref="R64:R113">
    <cfRule type="cellIs" priority="10" operator="lessThan" dxfId="0">
      <formula>60</formula>
    </cfRule>
  </conditionalFormatting>
  <conditionalFormatting sqref="T11:Y11 T13:W15 T17:W62 W16">
    <cfRule type="expression" priority="7" dxfId="5">
      <formula>$Y$11=0</formula>
    </cfRule>
  </conditionalFormatting>
  <conditionalFormatting sqref="T64:Y113">
    <cfRule type="expression" priority="2" dxfId="5">
      <formula>$Y$11=0</formula>
    </cfRule>
  </conditionalFormatting>
  <conditionalFormatting sqref="X13:X62">
    <cfRule type="cellIs" priority="5" operator="lessThan" dxfId="0">
      <formula>60</formula>
    </cfRule>
  </conditionalFormatting>
  <conditionalFormatting sqref="X64:X113">
    <cfRule type="cellIs" priority="1" operator="lessThan" dxfId="0">
      <formula>60</formula>
    </cfRule>
    <cfRule type="cellIs" priority="3" operator="lessThan" dxfId="0">
      <formula>60</formula>
    </cfRule>
  </conditionalFormatting>
  <conditionalFormatting sqref="X13:Y62">
    <cfRule type="expression" priority="4" dxfId="5">
      <formula>$Y$11=0</formula>
    </cfRule>
  </conditionalFormatting>
  <conditionalFormatting sqref="AB13:AB62 AB64:AB113">
    <cfRule type="cellIs" priority="8" operator="lessThan" dxfId="0">
      <formula>75</formula>
    </cfRule>
  </conditionalFormatting>
  <dataValidations count="53">
    <dataValidation sqref="AB13:AB62 AB64:AB113" showDropDown="0" showInputMessage="1" showErrorMessage="0" allowBlank="1" prompt="QUARTERLY GRADE (TRANSMUTED GRADE)"/>
    <dataValidation sqref="L10 R10 X10" showDropDown="0" showInputMessage="1" showErrorMessage="1" allowBlank="1" prompt="Percentage"/>
    <dataValidation sqref="A11 A13:A62" showDropDown="0" showInputMessage="0" showErrorMessage="0" allowBlank="1"/>
    <dataValidation sqref="K13:K62 K64:K113" showDropDown="0" showInputMessage="1" showErrorMessage="1" allowBlank="1" prompt="Written Works' Total Raw Score"/>
    <dataValidation sqref="Q13:Q62 Q64:Q113" showDropDown="0" showInputMessage="1" showErrorMessage="1" allowBlank="1" prompt="Performance Tasks' Total Raw Scores"/>
    <dataValidation sqref="B13:B62 B64:B113" showDropDown="0" showInputMessage="1" showErrorMessage="0" allowBlank="1" prompt="Do not type name of learners here. Go to INPUT DATA sheet."/>
    <dataValidation sqref="K11" showDropDown="0" showInputMessage="1" showErrorMessage="1" allowBlank="1" prompt="Written Works' Total Highest Possible Score"/>
    <dataValidation sqref="K11" showDropDown="0" showInputMessage="1" showErrorMessage="0" allowBlank="1" prompt="Written Works' Total Highest Possible Score"/>
    <dataValidation sqref="Q11" showDropDown="0" showInputMessage="1" showErrorMessage="1" allowBlank="1" prompt="Performance Tasks' Total Highest Possible Score"/>
    <dataValidation sqref="Q11" showDropDown="0" showInputMessage="1" showErrorMessage="0" allowBlank="1" prompt="Performance Tasks' Highest Possible Score"/>
    <dataValidation sqref="L11" showDropDown="0" showInputMessage="1" showErrorMessage="1" allowBlank="1" prompt="Written Works' Percentage Score"/>
    <dataValidation sqref="L11 L13:L62 L64:L113" showDropDown="0" showInputMessage="1" showErrorMessage="0" allowBlank="1" prompt="Written Works' Percentage Score"/>
    <dataValidation sqref="R11" showDropDown="0" showInputMessage="1" showErrorMessage="1" allowBlank="1" prompt="Performance Tasks' Percentage Score"/>
    <dataValidation sqref="R11 R13:R62 R64:R113 X13:X62 X64:X113" showDropDown="0" showInputMessage="1" showErrorMessage="0" allowBlank="1" prompt="Performance Tasks' Percentage Score"/>
    <dataValidation sqref="M11" showDropDown="0" showInputMessage="1" showErrorMessage="1" allowBlank="1" prompt="Written Works' Weighted Score"/>
    <dataValidation sqref="M11 M13:M62 M64:M113" showDropDown="0" showInputMessage="1" showErrorMessage="0" allowBlank="1" prompt="Written Works' Weighted Score"/>
    <dataValidation sqref="S11" showDropDown="0" showInputMessage="1" showErrorMessage="1" allowBlank="1" prompt="Performance Tasks' Weighted Score"/>
    <dataValidation sqref="S11 S13:S62 S64:S113 Y13:Y62 Y64:Y113" showDropDown="0" showInputMessage="1" showErrorMessage="0" allowBlank="1" prompt="Performance Tasks' Weighted Score"/>
    <dataValidation sqref="X11" showDropDown="0" showInputMessage="1" showErrorMessage="1" allowBlank="1" prompt="Quarterly Assessment's Percentage Score"/>
    <dataValidation sqref="X11" showDropDown="0" showInputMessage="1" showErrorMessage="0" allowBlank="1" prompt="Quarterly Assessment's Percentage Score"/>
    <dataValidation sqref="Y11" showDropDown="0" showInputMessage="1" showErrorMessage="1" allowBlank="1" prompt="Quarterly Assessment's Weighted Score"/>
    <dataValidation sqref="Y11" showDropDown="0" showInputMessage="1" showErrorMessage="0" allowBlank="1" prompt="Quarterly Assessment's Weighted Score"/>
    <dataValidation sqref="Z13:AA62 Z64:AA113" showDropDown="0" showInputMessage="1" showErrorMessage="0" allowBlank="1" prompt="INITIAL GRADE"/>
    <dataValidation sqref="A12 A63" showDropDown="0" showInputMessage="0" showErrorMessage="1" allowBlank="1"/>
    <dataValidation sqref="T9:Y9" showDropDown="0" showInputMessage="1" showErrorMessage="1" allowBlank="1" promptTitle="Go to INPUT DATA sheet" prompt="Then select your TRACK from the Drop-down List."/>
    <dataValidation sqref="F11:J11 N11:P11 T11:W11 W13:W62 W64:W113" showDropDown="0" showInputMessage="1" showErrorMessage="0" allowBlank="1" prompt="Either encode Highest Possible Score or Empty" type="list" errorStyle="information">
      <formula1>#REF!</formula1>
    </dataValidation>
    <dataValidation sqref="F11:J11 N11:P11 T11:W11 W13:W62 W64:W113" showDropDown="0" showInputMessage="1" showErrorMessage="0" allowBlank="1" prompt="Either encode Highest Possible Score or Empty" type="list">
      <formula1>#REF!</formula1>
    </dataValidation>
    <dataValidation sqref="F9:S9" showDropDown="0" showInputMessage="1" showErrorMessage="1" allowBlank="1" promptTitle="Go to INPUT DATA SHEET" prompt="Then select your TRACK from the Drop-down List."/>
  </dataValidations>
  <printOptions horizontalCentered="1"/>
  <pageMargins left="0.4" right="0.4" top="0.5" bottom="0.5" header="0.3" footer="0.3"/>
  <pageSetup orientation="landscape" paperSize="9" scale="69" fitToHeight="3" verticalDpi="300"/>
  <colBreaks count="1" manualBreakCount="1">
    <brk id="28" min="0" max="1048575" man="1"/>
  </col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AI117"/>
  <sheetViews>
    <sheetView showGridLines="0" zoomScale="82" zoomScaleNormal="90" zoomScaleSheetLayoutView="100" workbookViewId="0">
      <pane ySplit="11" topLeftCell="A12" activePane="bottomLeft" state="frozen"/>
      <selection pane="bottomLeft" activeCell="R11" sqref="R11"/>
    </sheetView>
  </sheetViews>
  <sheetFormatPr baseColWidth="8" defaultColWidth="0" defaultRowHeight="13.9" customHeight="1" zeroHeight="1"/>
  <cols>
    <col width="4.140625" customWidth="1" style="39" min="1" max="1"/>
    <col width="28.7109375" customWidth="1" style="39" min="2" max="2"/>
    <col width="3.28515625" customWidth="1" style="39" min="3" max="5"/>
    <col width="4.28515625" customWidth="1" style="39" min="6" max="10"/>
    <col width="6.28515625" customWidth="1" style="39" min="11" max="11"/>
    <col width="7.140625" customWidth="1" style="36" min="12" max="13"/>
    <col width="4.28515625" customWidth="1" style="39" min="14" max="16"/>
    <col width="6.28515625" customWidth="1" style="39" min="17" max="17"/>
    <col width="7.140625" customWidth="1" style="36" min="18" max="18"/>
    <col width="7.7109375" customWidth="1" style="36" min="19" max="19"/>
    <col width="5.7109375" customWidth="1" style="39" min="20" max="22"/>
    <col width="6.28515625" customWidth="1" style="39" min="23" max="23"/>
    <col width="7.140625" customWidth="1" style="36" min="24" max="25"/>
    <col width="10.28515625" customWidth="1" style="36" min="26" max="26"/>
    <col width="11" customWidth="1" style="276" min="27" max="27"/>
    <col width="10.28515625" customWidth="1" style="35" min="28" max="28"/>
    <col width="4.7109375" customWidth="1" style="38" min="29" max="29"/>
    <col hidden="1" width="4.7109375" customWidth="1" style="38" min="30" max="31"/>
    <col hidden="1" width="4.7109375" customWidth="1" style="450" min="32" max="35"/>
  </cols>
  <sheetData>
    <row r="1" ht="15" customFormat="1" customHeight="1" s="450">
      <c r="A1" s="474" t="inlineStr">
        <is>
          <t>Strengthened Senior High School Class Record</t>
        </is>
      </c>
      <c r="B1" s="649" t="n"/>
      <c r="C1" s="649" t="n"/>
      <c r="D1" s="649" t="n"/>
      <c r="E1" s="649" t="n"/>
      <c r="F1" s="649" t="n"/>
      <c r="G1" s="649" t="n"/>
      <c r="H1" s="649" t="n"/>
      <c r="I1" s="649" t="n"/>
      <c r="J1" s="649" t="n"/>
      <c r="K1" s="649" t="n"/>
      <c r="L1" s="649" t="n"/>
      <c r="M1" s="649" t="n"/>
      <c r="N1" s="649" t="n"/>
      <c r="O1" s="649" t="n"/>
      <c r="P1" s="649" t="n"/>
      <c r="Q1" s="649" t="n"/>
      <c r="R1" s="649" t="n"/>
      <c r="S1" s="649" t="n"/>
      <c r="T1" s="649" t="n"/>
      <c r="U1" s="649" t="n"/>
      <c r="V1" s="649" t="n"/>
      <c r="W1" s="649" t="n"/>
      <c r="X1" s="649" t="n"/>
      <c r="Y1" s="649" t="n"/>
      <c r="Z1" s="649" t="n"/>
      <c r="AA1" s="649" t="n"/>
      <c r="AB1" s="649" t="n"/>
      <c r="AC1" s="38" t="n"/>
      <c r="AD1" s="38" t="n"/>
      <c r="AE1" s="38" t="n"/>
    </row>
    <row r="2" ht="15" customFormat="1" customHeight="1" s="450">
      <c r="A2" s="649" t="n"/>
      <c r="B2" s="649" t="n"/>
      <c r="C2" s="649" t="n"/>
      <c r="D2" s="649" t="n"/>
      <c r="E2" s="649" t="n"/>
      <c r="F2" s="649" t="n"/>
      <c r="G2" s="649" t="n"/>
      <c r="H2" s="649" t="n"/>
      <c r="I2" s="649" t="n"/>
      <c r="J2" s="649" t="n"/>
      <c r="K2" s="649" t="n"/>
      <c r="L2" s="649" t="n"/>
      <c r="M2" s="649" t="n"/>
      <c r="N2" s="649" t="n"/>
      <c r="O2" s="649" t="n"/>
      <c r="P2" s="649" t="n"/>
      <c r="Q2" s="649" t="n"/>
      <c r="R2" s="649" t="n"/>
      <c r="S2" s="649" t="n"/>
      <c r="T2" s="649" t="n"/>
      <c r="U2" s="649" t="n"/>
      <c r="V2" s="649" t="n"/>
      <c r="W2" s="649" t="n"/>
      <c r="X2" s="649" t="n"/>
      <c r="Y2" s="649" t="n"/>
      <c r="Z2" s="649" t="n"/>
      <c r="AA2" s="649" t="n"/>
      <c r="AB2" s="649" t="n"/>
      <c r="AC2" s="38" t="n"/>
      <c r="AD2" s="38" t="n"/>
      <c r="AE2" s="38" t="n"/>
    </row>
    <row r="3" ht="15" customFormat="1" customHeight="1" s="450" thickBot="1">
      <c r="A3" s="475" t="inlineStr">
        <is>
          <t>(Pursuant to Deped Order 15 series of 2026)</t>
        </is>
      </c>
      <c r="B3" s="649" t="n"/>
      <c r="C3" s="649" t="n"/>
      <c r="D3" s="649" t="n"/>
      <c r="E3" s="649" t="n"/>
      <c r="F3" s="649" t="n"/>
      <c r="G3" s="649" t="n"/>
      <c r="H3" s="649" t="n"/>
      <c r="I3" s="649" t="n"/>
      <c r="J3" s="649" t="n"/>
      <c r="K3" s="649" t="n"/>
      <c r="L3" s="649" t="n"/>
      <c r="M3" s="649" t="n"/>
      <c r="N3" s="649" t="n"/>
      <c r="O3" s="649" t="n"/>
      <c r="P3" s="649" t="n"/>
      <c r="Q3" s="649" t="n"/>
      <c r="R3" s="649" t="n"/>
      <c r="S3" s="649" t="n"/>
      <c r="T3" s="649" t="n"/>
      <c r="U3" s="649" t="n"/>
      <c r="V3" s="649" t="n"/>
      <c r="W3" s="649" t="n"/>
      <c r="X3" s="649" t="n"/>
      <c r="Y3" s="649" t="n"/>
      <c r="Z3" s="649" t="n"/>
      <c r="AA3" s="649" t="n"/>
      <c r="AB3" s="649" t="n"/>
      <c r="AC3" s="38" t="n"/>
      <c r="AD3" s="38" t="n"/>
      <c r="AE3" s="38" t="n"/>
    </row>
    <row r="4" ht="21" customFormat="1" customHeight="1" s="450" thickBot="1">
      <c r="A4" s="39" t="n"/>
      <c r="B4" s="40" t="n"/>
      <c r="C4" s="39" t="n"/>
      <c r="D4" s="113" t="n"/>
      <c r="E4" s="113" t="n"/>
      <c r="F4" s="520" t="inlineStr">
        <is>
          <t>REGION</t>
        </is>
      </c>
      <c r="G4" s="479">
        <f>'INPUT DATA'!F10</f>
        <v/>
      </c>
      <c r="H4" s="650" t="n"/>
      <c r="I4" s="650" t="n"/>
      <c r="J4" s="650" t="n"/>
      <c r="K4" s="650" t="n"/>
      <c r="L4" s="650" t="n"/>
      <c r="M4" s="651" t="n"/>
      <c r="N4" s="33" t="n"/>
      <c r="O4" s="277" t="inlineStr">
        <is>
          <t>DIVISION</t>
        </is>
      </c>
      <c r="P4" s="277" t="n"/>
      <c r="Q4" s="263" t="n"/>
      <c r="R4" s="504">
        <f>'INPUT DATA'!F11</f>
        <v/>
      </c>
      <c r="S4" s="650" t="n"/>
      <c r="T4" s="650" t="n"/>
      <c r="U4" s="651" t="n"/>
      <c r="V4" s="33" t="n"/>
      <c r="W4" s="33" t="n"/>
      <c r="X4" s="33" t="n"/>
      <c r="Y4" s="33" t="n"/>
      <c r="Z4" s="33" t="n"/>
      <c r="AA4" s="33" t="n"/>
      <c r="AB4" s="8" t="n"/>
      <c r="AC4" s="8" t="n"/>
      <c r="AD4" s="8" t="n"/>
      <c r="AE4" s="8" t="n"/>
      <c r="AF4" s="8" t="n"/>
    </row>
    <row r="5" ht="21" customFormat="1" customHeight="1" s="450" thickBot="1">
      <c r="A5" s="39" t="n"/>
      <c r="B5" s="39" t="n"/>
      <c r="C5" s="113" t="n"/>
      <c r="D5" s="113" t="n"/>
      <c r="E5" s="113" t="n"/>
      <c r="F5" s="520" t="inlineStr">
        <is>
          <t>SCHOOL NAME</t>
        </is>
      </c>
      <c r="G5" s="652">
        <f>'INPUT DATA'!F14</f>
        <v/>
      </c>
      <c r="H5" s="650" t="n"/>
      <c r="I5" s="650" t="n"/>
      <c r="J5" s="650" t="n"/>
      <c r="K5" s="650" t="n"/>
      <c r="L5" s="650" t="n"/>
      <c r="M5" s="653" t="n"/>
      <c r="N5" s="523" t="n"/>
      <c r="O5" s="277" t="inlineStr">
        <is>
          <t>SCHOOL ID</t>
        </is>
      </c>
      <c r="P5" s="277" t="n"/>
      <c r="Q5" s="32" t="n"/>
      <c r="R5" s="654">
        <f>IF('INPUT DATA'!F13="","", 'INPUT DATA'!F13)</f>
        <v/>
      </c>
      <c r="S5" s="650" t="n"/>
      <c r="T5" s="650" t="n"/>
      <c r="U5" s="653" t="n"/>
      <c r="V5" s="277" t="n"/>
      <c r="W5" s="655" t="inlineStr">
        <is>
          <t>SCHOOL YEAR</t>
        </is>
      </c>
      <c r="X5" s="650" t="n"/>
      <c r="Y5" s="653" t="n"/>
      <c r="Z5" s="656">
        <f>'INPUT DATA'!F16</f>
        <v/>
      </c>
      <c r="AA5" s="650" t="n"/>
      <c r="AB5" s="653" t="n"/>
      <c r="AC5" s="8" t="n"/>
      <c r="AD5" s="8" t="n"/>
      <c r="AE5" s="8" t="n"/>
      <c r="AF5" s="8" t="n"/>
    </row>
    <row r="6" ht="15" customFormat="1" customHeight="1" s="450" thickBot="1">
      <c r="A6" s="168" t="n"/>
      <c r="B6" s="520" t="n"/>
      <c r="C6" s="520" t="n"/>
      <c r="D6" s="520" t="n"/>
      <c r="E6" s="520" t="n"/>
      <c r="F6" s="520" t="n"/>
      <c r="G6" s="32" t="n"/>
      <c r="H6" s="32" t="n"/>
      <c r="I6" s="32" t="n"/>
      <c r="J6" s="32" t="n"/>
      <c r="K6" s="32" t="n"/>
      <c r="L6" s="32" t="n"/>
      <c r="M6" s="32" t="n"/>
      <c r="N6" s="523" t="n"/>
      <c r="O6" s="28" t="n"/>
      <c r="P6" s="28" t="n"/>
      <c r="Q6" s="32" t="n"/>
      <c r="R6" s="28" t="n"/>
      <c r="S6" s="28" t="n"/>
      <c r="T6" s="28" t="n"/>
      <c r="U6" s="28" t="n"/>
      <c r="V6" s="28" t="n"/>
      <c r="W6" s="28" t="n"/>
      <c r="X6" s="32" t="n"/>
      <c r="Y6" s="32" t="n"/>
      <c r="Z6" s="32" t="n"/>
      <c r="AA6" s="32" t="n"/>
      <c r="AB6" s="31" t="n"/>
      <c r="AC6" s="8" t="n"/>
      <c r="AD6" s="8" t="n"/>
      <c r="AE6" s="8" t="n"/>
      <c r="AF6" s="8" t="n"/>
    </row>
    <row r="7" ht="26.25" customHeight="1" thickBot="1">
      <c r="A7" s="657" t="inlineStr">
        <is>
          <t xml:space="preserve">THIRD TERM </t>
        </is>
      </c>
      <c r="B7" s="658" t="n"/>
      <c r="C7" s="658" t="n"/>
      <c r="D7" s="658" t="n"/>
      <c r="E7" s="659" t="n"/>
      <c r="F7" s="660" t="inlineStr">
        <is>
          <t>GRADE LEVEL  AND SECTION</t>
        </is>
      </c>
      <c r="G7" s="658" t="n"/>
      <c r="H7" s="658" t="n"/>
      <c r="I7" s="658" t="n"/>
      <c r="J7" s="658" t="n"/>
      <c r="K7" s="661">
        <f>'INPUT DATA'!F24&amp;" - "&amp;'INPUT DATA'!F25</f>
        <v/>
      </c>
      <c r="L7" s="658" t="n"/>
      <c r="M7" s="658" t="n"/>
      <c r="N7" s="658" t="n"/>
      <c r="O7" s="658" t="n"/>
      <c r="P7" s="662" t="n"/>
      <c r="Q7" s="503" t="inlineStr">
        <is>
          <t>TEACHER:</t>
        </is>
      </c>
      <c r="R7" s="650" t="n"/>
      <c r="S7" s="512">
        <f>IF('INPUT DATA'!F22="","", 'INPUT DATA'!F22)</f>
        <v/>
      </c>
      <c r="T7" s="650" t="n"/>
      <c r="U7" s="650" t="n"/>
      <c r="V7" s="650" t="n"/>
      <c r="W7" s="650" t="n"/>
      <c r="X7" s="510" t="inlineStr">
        <is>
          <t>SUBJECT:</t>
        </is>
      </c>
      <c r="Y7" s="651" t="n"/>
      <c r="Z7" s="507">
        <f>IF('INPUT DATA'!F30&lt;&gt;"",'INPUT DATA'!F30,'INPUT DATA'!F28)</f>
        <v/>
      </c>
      <c r="AA7" s="650" t="n"/>
      <c r="AB7" s="651" t="n"/>
    </row>
    <row r="8" ht="23.25" customHeight="1" thickBot="1">
      <c r="A8" s="663" t="n"/>
      <c r="B8" s="664" t="n"/>
      <c r="C8" s="664" t="n"/>
      <c r="D8" s="664" t="n"/>
      <c r="E8" s="665" t="n"/>
      <c r="F8" s="666" t="n"/>
      <c r="G8" s="664" t="n"/>
      <c r="H8" s="664" t="n"/>
      <c r="I8" s="664" t="n"/>
      <c r="J8" s="664" t="n"/>
      <c r="K8" s="663" t="n"/>
      <c r="L8" s="664" t="n"/>
      <c r="M8" s="664" t="n"/>
      <c r="N8" s="664" t="n"/>
      <c r="O8" s="664" t="n"/>
      <c r="P8" s="667" t="n"/>
      <c r="Q8" s="486" t="inlineStr">
        <is>
          <t>TRACK:</t>
        </is>
      </c>
      <c r="R8" s="650" t="n"/>
      <c r="S8" s="519">
        <f>'INPUT DATA'!F23</f>
        <v/>
      </c>
      <c r="T8" s="650" t="n"/>
      <c r="U8" s="650" t="n"/>
      <c r="V8" s="650" t="n"/>
      <c r="W8" s="650" t="n"/>
      <c r="X8" s="501" t="inlineStr">
        <is>
          <t>SUBJECT TYPE:</t>
        </is>
      </c>
      <c r="Y8" s="650" t="n"/>
      <c r="Z8" s="500">
        <f>'INPUT DATA'!F26</f>
        <v/>
      </c>
      <c r="AA8" s="650" t="n"/>
      <c r="AB8" s="653" t="n"/>
    </row>
    <row r="9" ht="55.5" customFormat="1" customHeight="1" s="35" thickBot="1">
      <c r="A9" s="456" t="inlineStr">
        <is>
          <t>LEARNERS' NAMES</t>
        </is>
      </c>
      <c r="B9" s="649" t="n"/>
      <c r="C9" s="649" t="n"/>
      <c r="D9" s="649" t="n"/>
      <c r="E9" s="649" t="n"/>
      <c r="F9" s="668">
        <f>IF('INPUT DATA'!$F$26="","",INDEX('Helper(IMPORTANT!)'!$CI$2:$CI$6,MATCH(Z8,'Helper(IMPORTANT!)'!$CH$2:$CH$6,0)))</f>
        <v/>
      </c>
      <c r="G9" s="664" t="n"/>
      <c r="H9" s="664" t="n"/>
      <c r="I9" s="664" t="n"/>
      <c r="J9" s="664" t="n"/>
      <c r="K9" s="664" t="n"/>
      <c r="L9" s="664" t="n"/>
      <c r="M9" s="665" t="n"/>
      <c r="N9" s="668">
        <f>IF('INPUT DATA'!$F$26="","",INDEX('Helper(IMPORTANT!)'!$CJ$2:$CJ$6,MATCH(Z8,'Helper(IMPORTANT!)'!$CH$2:$CH$6,0)))</f>
        <v/>
      </c>
      <c r="O9" s="664" t="n"/>
      <c r="P9" s="664" t="n"/>
      <c r="Q9" s="664" t="n"/>
      <c r="R9" s="664" t="n"/>
      <c r="S9" s="665" t="n"/>
      <c r="T9" s="668">
        <f>IF('INPUT DATA'!$F$26="","",INDEX('Helper(IMPORTANT!)'!$CK$2:$CK$6,MATCH(Z8,'Helper(IMPORTANT!)'!$CH$2:$CH$6,0)))</f>
        <v/>
      </c>
      <c r="U9" s="664" t="n"/>
      <c r="V9" s="664" t="n"/>
      <c r="W9" s="664" t="n"/>
      <c r="X9" s="664" t="n"/>
      <c r="Y9" s="665" t="n"/>
      <c r="Z9" s="464" t="inlineStr">
        <is>
          <t>Initial
Grade</t>
        </is>
      </c>
      <c r="AA9" s="453" t="inlineStr">
        <is>
          <t>Transmuted Grade</t>
        </is>
      </c>
      <c r="AB9" s="452" t="inlineStr">
        <is>
          <t>Letter Grade</t>
        </is>
      </c>
    </row>
    <row r="10" ht="18" customFormat="1" customHeight="1" s="35" thickBot="1">
      <c r="A10" s="663" t="n"/>
      <c r="B10" s="664" t="n"/>
      <c r="C10" s="664" t="n"/>
      <c r="D10" s="664" t="n"/>
      <c r="E10" s="664" t="n"/>
      <c r="F10" s="50" t="n">
        <v>1</v>
      </c>
      <c r="G10" s="44" t="n">
        <v>2</v>
      </c>
      <c r="H10" s="44" t="n">
        <v>3</v>
      </c>
      <c r="I10" s="44" t="n">
        <v>4</v>
      </c>
      <c r="J10" s="44" t="n">
        <v>5</v>
      </c>
      <c r="K10" s="34" t="inlineStr">
        <is>
          <t>Total</t>
        </is>
      </c>
      <c r="L10" s="43" t="inlineStr">
        <is>
          <t>PS</t>
        </is>
      </c>
      <c r="M10" s="53" t="inlineStr">
        <is>
          <t>WS</t>
        </is>
      </c>
      <c r="N10" s="50" t="n">
        <v>1</v>
      </c>
      <c r="O10" s="44" t="n">
        <v>2</v>
      </c>
      <c r="P10" s="44" t="n">
        <v>3</v>
      </c>
      <c r="Q10" s="34" t="inlineStr">
        <is>
          <t>Total</t>
        </is>
      </c>
      <c r="R10" s="43" t="inlineStr">
        <is>
          <t>PS</t>
        </is>
      </c>
      <c r="S10" s="53" t="inlineStr">
        <is>
          <t>WS</t>
        </is>
      </c>
      <c r="T10" s="357" t="inlineStr">
        <is>
          <t>SA1</t>
        </is>
      </c>
      <c r="U10" s="358" t="inlineStr">
        <is>
          <t>SA2</t>
        </is>
      </c>
      <c r="V10" s="358" t="inlineStr">
        <is>
          <t>TE</t>
        </is>
      </c>
      <c r="W10" s="356" t="inlineStr">
        <is>
          <t>Total</t>
        </is>
      </c>
      <c r="X10" s="43" t="inlineStr">
        <is>
          <t>PS</t>
        </is>
      </c>
      <c r="Y10" s="53" t="inlineStr">
        <is>
          <t>WS</t>
        </is>
      </c>
      <c r="Z10" s="669" t="n"/>
      <c r="AA10" s="670" t="n"/>
      <c r="AB10" s="670" t="n"/>
      <c r="AF10" s="450" t="n"/>
      <c r="AG10" s="649" t="n"/>
      <c r="AH10" s="649" t="n"/>
      <c r="AI10" s="649" t="n"/>
    </row>
    <row r="11" ht="18" customFormat="1" customHeight="1" s="451" thickBot="1">
      <c r="A11" s="454" t="inlineStr">
        <is>
          <t>HIGHEST POSSIBLE SCORE</t>
        </is>
      </c>
      <c r="B11" s="649" t="n"/>
      <c r="C11" s="649" t="n"/>
      <c r="D11" s="649" t="n"/>
      <c r="E11" s="649" t="n"/>
      <c r="F11" s="261" t="n"/>
      <c r="G11" s="262" t="n"/>
      <c r="H11" s="262" t="n"/>
      <c r="I11" s="262" t="n"/>
      <c r="J11" s="262" t="n"/>
      <c r="K11" s="57">
        <f>IF(COUNT($F11:$J11)=0,"",SUM($F11:$J11))</f>
        <v/>
      </c>
      <c r="L11" s="56" t="n">
        <v>100</v>
      </c>
      <c r="M11" s="58">
        <f>IF('INPUT DATA'!$F$26="","",INDEX('Helper(IMPORTANT!)'!$CL$2:$CL$6,MATCH(Z8,'Helper(IMPORTANT!)'!$CH$2:$CH$6,0)))</f>
        <v/>
      </c>
      <c r="N11" s="261" t="n"/>
      <c r="O11" s="262" t="n"/>
      <c r="P11" s="262" t="n"/>
      <c r="Q11" s="57">
        <f>IF(COUNT($N11:$P11)=0,"",SUM($N11:$P11))</f>
        <v/>
      </c>
      <c r="R11" s="56" t="n">
        <v>100</v>
      </c>
      <c r="S11" s="58">
        <f>IF('INPUT DATA'!$F$26="","",INDEX('Helper(IMPORTANT!)'!$CM$2:$CM$6,MATCH(Z8,'Helper(IMPORTANT!)'!$CH$2:$CH$6,0)))</f>
        <v/>
      </c>
      <c r="T11" s="264" t="n"/>
      <c r="U11" s="262" t="n"/>
      <c r="V11" s="262" t="n"/>
      <c r="W11" s="355">
        <f>IF(COUNT($T11:$V11)=0,"",SUM($T11:$V11))</f>
        <v/>
      </c>
      <c r="X11" s="270" t="n">
        <v>100</v>
      </c>
      <c r="Y11" s="58">
        <f>IF('INPUT DATA'!$F$26="","",INDEX('Helper(IMPORTANT!)'!$CN$2:$CN$6,MATCH(Z8,'Helper(IMPORTANT!)'!$CH$2:$CH$6,0)))</f>
        <v/>
      </c>
      <c r="Z11" s="669" t="n"/>
      <c r="AA11" s="671" t="n"/>
      <c r="AB11" s="670" t="n"/>
      <c r="AF11" s="450" t="n"/>
      <c r="AG11" s="450" t="n"/>
      <c r="AH11" s="450" t="n"/>
      <c r="AI11" s="450" t="n"/>
    </row>
    <row r="12" ht="18" customFormat="1" customHeight="1" s="451" thickBot="1">
      <c r="A12" s="672" t="inlineStr">
        <is>
          <t xml:space="preserve">MALE </t>
        </is>
      </c>
      <c r="B12" s="650" t="n"/>
      <c r="C12" s="650" t="n"/>
      <c r="D12" s="650" t="n"/>
      <c r="E12" s="650" t="n"/>
      <c r="F12" s="650" t="n"/>
      <c r="G12" s="650" t="n"/>
      <c r="H12" s="650" t="n"/>
      <c r="I12" s="650" t="n"/>
      <c r="J12" s="650" t="n"/>
      <c r="K12" s="650" t="n"/>
      <c r="L12" s="650" t="n"/>
      <c r="M12" s="650" t="n"/>
      <c r="N12" s="650" t="n"/>
      <c r="O12" s="650" t="n"/>
      <c r="P12" s="650" t="n"/>
      <c r="Q12" s="650" t="n"/>
      <c r="R12" s="650" t="n"/>
      <c r="S12" s="650" t="n"/>
      <c r="T12" s="650" t="n"/>
      <c r="U12" s="650" t="n"/>
      <c r="V12" s="650" t="n"/>
      <c r="W12" s="650" t="n"/>
      <c r="X12" s="650" t="n"/>
      <c r="Y12" s="650" t="n"/>
      <c r="Z12" s="650" t="n"/>
      <c r="AA12" s="650" t="n"/>
      <c r="AB12" s="653" t="n"/>
      <c r="AF12" s="450" t="n"/>
      <c r="AG12" s="450" t="n"/>
      <c r="AH12" s="450" t="n"/>
      <c r="AI12" s="450" t="n"/>
    </row>
    <row r="13" ht="18" customHeight="1">
      <c r="A13" s="169" t="n">
        <v>1</v>
      </c>
      <c r="B13" s="442">
        <f>'INPUT DATA'!L11</f>
        <v/>
      </c>
      <c r="C13" s="673" t="n"/>
      <c r="D13" s="673" t="n"/>
      <c r="E13" s="674" t="n"/>
      <c r="F13" s="51" t="n"/>
      <c r="G13" s="46" t="n"/>
      <c r="H13" s="46" t="n"/>
      <c r="I13" s="46" t="n"/>
      <c r="J13" s="46" t="n"/>
      <c r="K13" s="48">
        <f>IF(COUNT($F13:$J13)=0,"",SUM($F13:$J13))</f>
        <v/>
      </c>
      <c r="L13" s="47">
        <f>IFERROR(IF(K13="","",ROUND(K13/$K$11*100,2)),"")</f>
        <v/>
      </c>
      <c r="M13" s="54">
        <f>IFERROR(IF(L13="","",ROUND(L13*$M$11,2)),"")</f>
        <v/>
      </c>
      <c r="N13" s="51" t="n"/>
      <c r="O13" s="46" t="n"/>
      <c r="P13" s="46" t="n"/>
      <c r="Q13" s="48">
        <f>IF(COUNT($N13:$P13)=0,"",SUM($N13:$P13))</f>
        <v/>
      </c>
      <c r="R13" s="47">
        <f>IFERROR(IF(Q13="","",ROUND(Q13/$Q$11*100,2)),"")</f>
        <v/>
      </c>
      <c r="S13" s="54">
        <f>IFERROR(IF(R13="","",ROUND(R13*$S$11,2)),"")</f>
        <v/>
      </c>
      <c r="T13" s="287" t="n"/>
      <c r="U13" s="45" t="n"/>
      <c r="V13" s="273" t="n"/>
      <c r="W13" s="272">
        <f>IF(COUNT($T13:$V13)=0,"",SUM($T13:$V13))</f>
        <v/>
      </c>
      <c r="X13" s="271">
        <f>IFERROR(IF(W13="","",ROUND((($T13/$T$11)*30 + ($U13/$U$11)*30 + ($V13/$V$11)*40),2)),"")</f>
        <v/>
      </c>
      <c r="Y13" s="54">
        <f>IFERROR(IF(X13="","",ROUND(X13*$Y$11,2)),"")</f>
        <v/>
      </c>
      <c r="Z13" s="55">
        <f>IFERROR(M13+S13+Y13,"")</f>
        <v/>
      </c>
      <c r="AA13" s="274">
        <f>IFERROR(VLOOKUP(Z13,'Helper(IMPORTANT!)'!$CQ$1:$CR$41,2,TRUE),"")</f>
        <v/>
      </c>
      <c r="AB13" s="170">
        <f t="array" ref="AB13">IF(AA13="", "", _xlfn.IFS(AA13&gt;=90, "A", AA13&gt;=80, "B", AA13&gt;=75, "C", AA13&gt;=65, "D", AA13&gt;=0, "E"))</f>
        <v/>
      </c>
      <c r="AD13" s="39" t="n"/>
      <c r="AF13" s="451" t="n"/>
      <c r="AG13" s="649" t="n"/>
      <c r="AH13" s="649" t="n"/>
      <c r="AI13" s="649" t="n"/>
    </row>
    <row r="14" ht="18" customHeight="1">
      <c r="A14" s="169" t="n">
        <v>2</v>
      </c>
      <c r="B14" s="442">
        <f>'INPUT DATA'!L12</f>
        <v/>
      </c>
      <c r="C14" s="673" t="n"/>
      <c r="D14" s="673" t="n"/>
      <c r="E14" s="674" t="n"/>
      <c r="F14" s="51" t="n"/>
      <c r="G14" s="46" t="n"/>
      <c r="H14" s="46" t="n"/>
      <c r="I14" s="46" t="n"/>
      <c r="J14" s="46" t="n"/>
      <c r="K14" s="48">
        <f>IF(COUNT($F14:$J14)=0,"",SUM($F14:$J14))</f>
        <v/>
      </c>
      <c r="L14" s="47">
        <f>IFERROR(IF(K14="","",ROUND(K14/$K$11*100,2)),"")</f>
        <v/>
      </c>
      <c r="M14" s="54">
        <f>IFERROR(IF(L14="","",ROUND(L14*$M$11,2)),"")</f>
        <v/>
      </c>
      <c r="N14" s="51" t="n"/>
      <c r="O14" s="46" t="n"/>
      <c r="P14" s="46" t="n"/>
      <c r="Q14" s="48">
        <f>IF(COUNT($N14:$P14)=0,"",SUM($N14:$P14))</f>
        <v/>
      </c>
      <c r="R14" s="47">
        <f>IFERROR(IF(Q14="","",ROUND(Q14/$Q$11*100,2)),"")</f>
        <v/>
      </c>
      <c r="S14" s="54">
        <f>IFERROR(IF(R14="","",ROUND(R14*$S$11,2)),"")</f>
        <v/>
      </c>
      <c r="T14" s="51" t="n"/>
      <c r="U14" s="46" t="n"/>
      <c r="V14" s="46" t="n"/>
      <c r="W14" s="272">
        <f>IF(COUNT($T14:$V14)=0,"",SUM($T14:$V14))</f>
        <v/>
      </c>
      <c r="X14" s="352">
        <f>IFERROR(IF(W14="","",ROUND((($T14/$T$11)*30 + ($U14/$U$11)*30 + ($V14/$V$11)*40),2)),"")</f>
        <v/>
      </c>
      <c r="Y14" s="54">
        <f>IFERROR(IF(X14="","",ROUND(X14*$Y$11,2)),"")</f>
        <v/>
      </c>
      <c r="Z14" s="55">
        <f>IFERROR(M14+S14+Y14,"")</f>
        <v/>
      </c>
      <c r="AA14" s="274">
        <f>IFERROR(VLOOKUP(Z14,'Helper(IMPORTANT!)'!$CQ$1:$CR$41,2,TRUE),"")</f>
        <v/>
      </c>
      <c r="AB14" s="170">
        <f t="array" ref="AB14">IF(AA14="", "", _xlfn.IFS(AA14&gt;=90, "A", AA14&gt;=80, "B", AA14&gt;=75, "C", AA14&gt;=65, "D", AA14&gt;=0, "E"))</f>
        <v/>
      </c>
      <c r="AD14" s="39" t="n"/>
      <c r="AF14" s="451" t="n"/>
      <c r="AG14" s="649" t="n"/>
      <c r="AH14" s="649" t="n"/>
      <c r="AI14" s="649" t="n"/>
    </row>
    <row r="15" ht="18" customHeight="1">
      <c r="A15" s="169" t="n">
        <v>3</v>
      </c>
      <c r="B15" s="442">
        <f>'INPUT DATA'!L13</f>
        <v/>
      </c>
      <c r="C15" s="673" t="n"/>
      <c r="D15" s="673" t="n"/>
      <c r="E15" s="674" t="n"/>
      <c r="F15" s="51" t="n"/>
      <c r="G15" s="46" t="n"/>
      <c r="H15" s="46" t="n"/>
      <c r="I15" s="46" t="n"/>
      <c r="J15" s="46" t="n"/>
      <c r="K15" s="48">
        <f>IF(COUNT($F15:$J15)=0,"",SUM($F15:$J15))</f>
        <v/>
      </c>
      <c r="L15" s="47">
        <f>IFERROR(IF(K15="","",ROUND(K15/$K$11*100,2)),"")</f>
        <v/>
      </c>
      <c r="M15" s="54">
        <f>IFERROR(IF(L15="","",ROUND(L15*$M$11,2)),"")</f>
        <v/>
      </c>
      <c r="N15" s="51" t="n"/>
      <c r="O15" s="46" t="n"/>
      <c r="P15" s="46" t="n"/>
      <c r="Q15" s="48">
        <f>IF(COUNT($N15:$P15)=0,"",SUM($N15:$P15))</f>
        <v/>
      </c>
      <c r="R15" s="47">
        <f>IFERROR(IF(Q15="","",ROUND(Q15/$Q$11*100,2)),"")</f>
        <v/>
      </c>
      <c r="S15" s="54">
        <f>IFERROR(IF(R15="","",ROUND(R15*$S$11,2)),"")</f>
        <v/>
      </c>
      <c r="T15" s="51" t="n"/>
      <c r="U15" s="46" t="n"/>
      <c r="V15" s="46" t="n"/>
      <c r="W15" s="272">
        <f>IF(COUNT($T15:$V15)=0,"",SUM($T15:$V15))</f>
        <v/>
      </c>
      <c r="X15" s="352">
        <f>IFERROR(IF(W15="","",ROUND((($T15/$T$11)*30 + ($U15/$U$11)*30 + ($V15/$V$11)*40),2)),"")</f>
        <v/>
      </c>
      <c r="Y15" s="54">
        <f>IFERROR(IF(X15="","",ROUND(X15*$Y$11,2)),"")</f>
        <v/>
      </c>
      <c r="Z15" s="55">
        <f>IFERROR(M15+S15+Y15,"")</f>
        <v/>
      </c>
      <c r="AA15" s="274">
        <f>IFERROR(VLOOKUP(Z15,'Helper(IMPORTANT!)'!$CQ$1:$CR$41,2,TRUE),"")</f>
        <v/>
      </c>
      <c r="AB15" s="170">
        <f t="array" ref="AB15">IF(AA15="", "", _xlfn.IFS(AA15&gt;=90, "A", AA15&gt;=80, "B", AA15&gt;=75, "C", AA15&gt;=65, "D", AA15&gt;=0, "E"))</f>
        <v/>
      </c>
      <c r="AD15" s="39" t="n"/>
      <c r="AF15" s="451" t="n"/>
      <c r="AG15" s="649" t="n"/>
      <c r="AH15" s="649" t="n"/>
      <c r="AI15" s="649" t="n"/>
    </row>
    <row r="16" ht="18" customHeight="1">
      <c r="A16" s="169" t="n">
        <v>4</v>
      </c>
      <c r="B16" s="442">
        <f>'INPUT DATA'!L14</f>
        <v/>
      </c>
      <c r="C16" s="673" t="n"/>
      <c r="D16" s="673" t="n"/>
      <c r="E16" s="674" t="n"/>
      <c r="F16" s="52" t="n"/>
      <c r="G16" s="46" t="n"/>
      <c r="H16" s="46" t="n"/>
      <c r="I16" s="46" t="n"/>
      <c r="J16" s="46" t="n"/>
      <c r="K16" s="48">
        <f>IF(COUNT($F16:$J16)=0,"",SUM($F16:$J16))</f>
        <v/>
      </c>
      <c r="L16" s="47">
        <f>IFERROR(IF(K16="","",ROUND(K16/$K$11*100,2)),"")</f>
        <v/>
      </c>
      <c r="M16" s="54">
        <f>IFERROR(IF(L16="","",ROUND(L16*$M$11,2)),"")</f>
        <v/>
      </c>
      <c r="N16" s="52" t="n"/>
      <c r="O16" s="49" t="n"/>
      <c r="P16" s="49" t="n"/>
      <c r="Q16" s="48">
        <f>IF(COUNT($N16:$P16)=0,"",SUM($N16:$P16))</f>
        <v/>
      </c>
      <c r="R16" s="47">
        <f>IFERROR(IF(Q16="","",ROUND(Q16/$Q$11*100,2)),"")</f>
        <v/>
      </c>
      <c r="S16" s="54">
        <f>IFERROR(IF(R16="","",ROUND(R16*$S$11,2)),"")</f>
        <v/>
      </c>
      <c r="T16" s="265" t="n"/>
      <c r="U16" s="46" t="n"/>
      <c r="V16" s="268" t="n"/>
      <c r="W16" s="272">
        <f>IF(COUNT($T16:$V16)=0,"",SUM($T16:$V16))</f>
        <v/>
      </c>
      <c r="X16" s="352">
        <f>IFERROR(IF(W16="","",ROUND((($T16/$T$11)*30 + ($U16/$U$11)*30 + ($V16/$V$11)*40),2)),"")</f>
        <v/>
      </c>
      <c r="Y16" s="54">
        <f>IFERROR(IF(X16="","",ROUND(X16*$Y$11,2)),"")</f>
        <v/>
      </c>
      <c r="Z16" s="55">
        <f>IFERROR(M16+S16+Y16,"")</f>
        <v/>
      </c>
      <c r="AA16" s="274">
        <f>IFERROR(VLOOKUP(Z16,'Helper(IMPORTANT!)'!$CQ$1:$CR$41,2,TRUE),"")</f>
        <v/>
      </c>
      <c r="AB16" s="170">
        <f t="array" ref="AB16">IF(AA16="", "", _xlfn.IFS(AA16&gt;=90, "A", AA16&gt;=80, "B", AA16&gt;=75, "C", AA16&gt;=65, "D", AA16&gt;=0, "E"))</f>
        <v/>
      </c>
      <c r="AD16" s="39" t="n"/>
      <c r="AF16" s="451" t="n"/>
      <c r="AG16" s="649" t="n"/>
      <c r="AH16" s="649" t="n"/>
      <c r="AI16" s="649" t="n"/>
    </row>
    <row r="17" ht="18" customHeight="1">
      <c r="A17" s="169" t="n">
        <v>5</v>
      </c>
      <c r="B17" s="442">
        <f>'INPUT DATA'!L15</f>
        <v/>
      </c>
      <c r="C17" s="673" t="n"/>
      <c r="D17" s="673" t="n"/>
      <c r="E17" s="674" t="n"/>
      <c r="F17" s="52" t="n"/>
      <c r="G17" s="49" t="n"/>
      <c r="H17" s="49" t="n"/>
      <c r="I17" s="49" t="n"/>
      <c r="J17" s="49" t="n"/>
      <c r="K17" s="48">
        <f>IF(COUNT($F17:$J17)=0,"",SUM($F17:$J17))</f>
        <v/>
      </c>
      <c r="L17" s="47">
        <f>IFERROR(IF(K17="","",ROUND(K17/$K$11*100,2)),"")</f>
        <v/>
      </c>
      <c r="M17" s="54">
        <f>IFERROR(IF(L17="","",ROUND(L17*$M$11,2)),"")</f>
        <v/>
      </c>
      <c r="N17" s="52" t="n"/>
      <c r="O17" s="49" t="n"/>
      <c r="P17" s="49" t="n"/>
      <c r="Q17" s="48">
        <f>IF(COUNT($N17:$P17)=0,"",SUM($N17:$P17))</f>
        <v/>
      </c>
      <c r="R17" s="47">
        <f>IFERROR(IF(Q17="","",ROUND(Q17/$Q$11*100,2)),"")</f>
        <v/>
      </c>
      <c r="S17" s="54">
        <f>IFERROR(IF(R17="","",ROUND(R17*$S$11,2)),"")</f>
        <v/>
      </c>
      <c r="T17" s="265" t="n"/>
      <c r="U17" s="46" t="n"/>
      <c r="V17" s="268" t="n"/>
      <c r="W17" s="272">
        <f>IF(COUNT($T17:$V17)=0,"",SUM($T17:$V17))</f>
        <v/>
      </c>
      <c r="X17" s="352">
        <f>IFERROR(IF(W17="","",ROUND((($T17/$T$11)*30 + ($U17/$U$11)*30 + ($V17/$V$11)*40),2)),"")</f>
        <v/>
      </c>
      <c r="Y17" s="54">
        <f>IFERROR(IF(X17="","",ROUND(X17*$Y$11,2)),"")</f>
        <v/>
      </c>
      <c r="Z17" s="55">
        <f>IFERROR(M17+S17+Y17,"")</f>
        <v/>
      </c>
      <c r="AA17" s="274">
        <f>IFERROR(VLOOKUP(Z17,'Helper(IMPORTANT!)'!$CQ$1:$CR$41,2,TRUE),"")</f>
        <v/>
      </c>
      <c r="AB17" s="170">
        <f t="array" ref="AB17">IF(AA17="", "", _xlfn.IFS(AA17&gt;=90, "A", AA17&gt;=80, "B", AA17&gt;=75, "C", AA17&gt;=65, "D", AA17&gt;=0, "E"))</f>
        <v/>
      </c>
      <c r="AD17" s="39" t="n"/>
      <c r="AF17" s="451" t="n"/>
      <c r="AG17" s="649" t="n"/>
      <c r="AH17" s="649" t="n"/>
      <c r="AI17" s="649" t="n"/>
    </row>
    <row r="18" ht="18" customHeight="1">
      <c r="A18" s="169" t="n">
        <v>6</v>
      </c>
      <c r="B18" s="442">
        <f>'INPUT DATA'!L16</f>
        <v/>
      </c>
      <c r="C18" s="673" t="n"/>
      <c r="D18" s="673" t="n"/>
      <c r="E18" s="674" t="n"/>
      <c r="F18" s="52" t="n"/>
      <c r="G18" s="49" t="n"/>
      <c r="H18" s="49" t="n"/>
      <c r="I18" s="49" t="n"/>
      <c r="J18" s="49" t="n"/>
      <c r="K18" s="48">
        <f>IF(COUNT($F18:$J18)=0,"",SUM($F18:$J18))</f>
        <v/>
      </c>
      <c r="L18" s="47">
        <f>IFERROR(IF(K18="","",ROUND(K18/$K$11*100,2)),"")</f>
        <v/>
      </c>
      <c r="M18" s="54">
        <f>IFERROR(IF(L18="","",ROUND(L18*$M$11,2)),"")</f>
        <v/>
      </c>
      <c r="N18" s="52" t="n"/>
      <c r="O18" s="49" t="n"/>
      <c r="P18" s="49" t="n"/>
      <c r="Q18" s="48">
        <f>IF(COUNT($N18:$P18)=0,"",SUM($N18:$P18))</f>
        <v/>
      </c>
      <c r="R18" s="47">
        <f>IFERROR(IF(Q18="","",ROUND(Q18/$Q$11*100,2)),"")</f>
        <v/>
      </c>
      <c r="S18" s="54">
        <f>IFERROR(IF(R18="","",ROUND(R18*$S$11,2)),"")</f>
        <v/>
      </c>
      <c r="T18" s="265" t="n"/>
      <c r="U18" s="46" t="n"/>
      <c r="V18" s="268" t="n"/>
      <c r="W18" s="272">
        <f>IF(COUNT($T18:$V18)=0,"",SUM($T18:$V18))</f>
        <v/>
      </c>
      <c r="X18" s="352">
        <f>IFERROR(IF(W18="","",ROUND((($T18/$T$11)*30 + ($U18/$U$11)*30 + ($V18/$V$11)*40),2)),"")</f>
        <v/>
      </c>
      <c r="Y18" s="54">
        <f>IFERROR(IF(X18="","",ROUND(X18*$Y$11,2)),"")</f>
        <v/>
      </c>
      <c r="Z18" s="55">
        <f>IFERROR(M18+S18+Y18,"")</f>
        <v/>
      </c>
      <c r="AA18" s="274">
        <f>IFERROR(VLOOKUP(Z18,'Helper(IMPORTANT!)'!$CQ$1:$CR$41,2,TRUE),"")</f>
        <v/>
      </c>
      <c r="AB18" s="170">
        <f t="array" ref="AB18">IF(AA18="", "", _xlfn.IFS(AA18&gt;=90, "A", AA18&gt;=80, "B", AA18&gt;=75, "C", AA18&gt;=65, "D", AA18&gt;=0, "E"))</f>
        <v/>
      </c>
      <c r="AD18" s="39" t="n"/>
      <c r="AF18" s="451" t="n"/>
      <c r="AG18" s="649" t="n"/>
      <c r="AH18" s="649" t="n"/>
      <c r="AI18" s="649" t="n"/>
    </row>
    <row r="19" ht="18" customHeight="1">
      <c r="A19" s="169" t="n">
        <v>7</v>
      </c>
      <c r="B19" s="442">
        <f>'INPUT DATA'!L17</f>
        <v/>
      </c>
      <c r="C19" s="673" t="n"/>
      <c r="D19" s="673" t="n"/>
      <c r="E19" s="674" t="n"/>
      <c r="F19" s="52" t="n"/>
      <c r="G19" s="49" t="n"/>
      <c r="H19" s="49" t="n"/>
      <c r="I19" s="49" t="n"/>
      <c r="J19" s="49" t="n"/>
      <c r="K19" s="48">
        <f>IF(COUNT($F19:$J19)=0,"",SUM($F19:$J19))</f>
        <v/>
      </c>
      <c r="L19" s="47">
        <f>IFERROR(IF(K19="","",ROUND(K19/$K$11*100,2)),"")</f>
        <v/>
      </c>
      <c r="M19" s="54">
        <f>IFERROR(IF(L19="","",ROUND(L19*$M$11,2)),"")</f>
        <v/>
      </c>
      <c r="N19" s="52" t="n"/>
      <c r="O19" s="49" t="n"/>
      <c r="P19" s="49" t="n"/>
      <c r="Q19" s="48">
        <f>IF(COUNT($N19:$P19)=0,"",SUM($N19:$P19))</f>
        <v/>
      </c>
      <c r="R19" s="47">
        <f>IFERROR(IF(Q19="","",ROUND(Q19/$Q$11*100,2)),"")</f>
        <v/>
      </c>
      <c r="S19" s="54">
        <f>IFERROR(IF(R19="","",ROUND(R19*$S$11,2)),"")</f>
        <v/>
      </c>
      <c r="T19" s="265" t="n"/>
      <c r="U19" s="46" t="n"/>
      <c r="V19" s="268" t="n"/>
      <c r="W19" s="272">
        <f>IF(COUNT($T19:$V19)=0,"",SUM($T19:$V19))</f>
        <v/>
      </c>
      <c r="X19" s="352">
        <f>IFERROR(IF(W19="","",ROUND((($T19/$T$11)*30 + ($U19/$U$11)*30 + ($V19/$V$11)*40),2)),"")</f>
        <v/>
      </c>
      <c r="Y19" s="54">
        <f>IFERROR(IF(X19="","",ROUND(X19*$Y$11,2)),"")</f>
        <v/>
      </c>
      <c r="Z19" s="55">
        <f>IFERROR(M19+S19+Y19,"")</f>
        <v/>
      </c>
      <c r="AA19" s="274">
        <f>IFERROR(VLOOKUP(Z19,'Helper(IMPORTANT!)'!$CQ$1:$CR$41,2,TRUE),"")</f>
        <v/>
      </c>
      <c r="AB19" s="170">
        <f t="array" ref="AB19">IF(AA19="", "", _xlfn.IFS(AA19&gt;=90, "A", AA19&gt;=80, "B", AA19&gt;=75, "C", AA19&gt;=65, "D", AA19&gt;=0, "E"))</f>
        <v/>
      </c>
      <c r="AD19" s="39" t="n"/>
      <c r="AF19" s="451" t="n"/>
      <c r="AG19" s="649" t="n"/>
      <c r="AH19" s="649" t="n"/>
      <c r="AI19" s="649" t="n"/>
    </row>
    <row r="20" ht="18" customHeight="1">
      <c r="A20" s="169" t="n">
        <v>8</v>
      </c>
      <c r="B20" s="442">
        <f>'INPUT DATA'!L18</f>
        <v/>
      </c>
      <c r="C20" s="673" t="n"/>
      <c r="D20" s="673" t="n"/>
      <c r="E20" s="674" t="n"/>
      <c r="F20" s="52" t="n"/>
      <c r="G20" s="49" t="n"/>
      <c r="H20" s="49" t="n"/>
      <c r="I20" s="49" t="n"/>
      <c r="J20" s="49" t="n"/>
      <c r="K20" s="48">
        <f>IF(COUNT($F20:$J20)=0,"",SUM($F20:$J20))</f>
        <v/>
      </c>
      <c r="L20" s="47">
        <f>IFERROR(IF(K20="","",ROUND(K20/$K$11*100,2)),"")</f>
        <v/>
      </c>
      <c r="M20" s="54">
        <f>IFERROR(IF(L20="","",ROUND(L20*$M$11,2)),"")</f>
        <v/>
      </c>
      <c r="N20" s="52" t="n"/>
      <c r="O20" s="49" t="n"/>
      <c r="P20" s="49" t="n"/>
      <c r="Q20" s="48">
        <f>IF(COUNT($N20:$P20)=0,"",SUM($N20:$P20))</f>
        <v/>
      </c>
      <c r="R20" s="47">
        <f>IFERROR(IF(Q20="","",ROUND(Q20/$Q$11*100,2)),"")</f>
        <v/>
      </c>
      <c r="S20" s="54">
        <f>IFERROR(IF(R20="","",ROUND(R20*$S$11,2)),"")</f>
        <v/>
      </c>
      <c r="T20" s="265" t="n"/>
      <c r="U20" s="46" t="n"/>
      <c r="V20" s="268" t="n"/>
      <c r="W20" s="272">
        <f>IF(COUNT($T20:$V20)=0,"",SUM($T20:$V20))</f>
        <v/>
      </c>
      <c r="X20" s="352">
        <f>IFERROR(IF(W20="","",ROUND((($T20/$T$11)*30 + ($U20/$U$11)*30 + ($V20/$V$11)*40),2)),"")</f>
        <v/>
      </c>
      <c r="Y20" s="54">
        <f>IFERROR(IF(X20="","",ROUND(X20*$Y$11,2)),"")</f>
        <v/>
      </c>
      <c r="Z20" s="55">
        <f>IFERROR(M20+S20+Y20,"")</f>
        <v/>
      </c>
      <c r="AA20" s="274">
        <f>IFERROR(VLOOKUP(Z20,'Helper(IMPORTANT!)'!$CQ$1:$CR$41,2,TRUE),"")</f>
        <v/>
      </c>
      <c r="AB20" s="170">
        <f t="array" ref="AB20">IF(AA20="", "", _xlfn.IFS(AA20&gt;=90, "A", AA20&gt;=80, "B", AA20&gt;=75, "C", AA20&gt;=65, "D", AA20&gt;=0, "E"))</f>
        <v/>
      </c>
      <c r="AD20" s="39" t="n"/>
      <c r="AF20" s="451" t="n"/>
      <c r="AG20" s="649" t="n"/>
      <c r="AH20" s="649" t="n"/>
      <c r="AI20" s="649" t="n"/>
    </row>
    <row r="21" ht="18" customHeight="1">
      <c r="A21" s="169" t="n">
        <v>9</v>
      </c>
      <c r="B21" s="442">
        <f>'INPUT DATA'!L19</f>
        <v/>
      </c>
      <c r="C21" s="673" t="n"/>
      <c r="D21" s="673" t="n"/>
      <c r="E21" s="674" t="n"/>
      <c r="F21" s="52" t="n"/>
      <c r="G21" s="49" t="n"/>
      <c r="H21" s="49" t="n"/>
      <c r="I21" s="49" t="n"/>
      <c r="J21" s="49" t="n"/>
      <c r="K21" s="48">
        <f>IF(COUNT($F21:$J21)=0,"",SUM($F21:$J21))</f>
        <v/>
      </c>
      <c r="L21" s="47">
        <f>IFERROR(IF(K21="","",ROUND(K21/$K$11*100,2)),"")</f>
        <v/>
      </c>
      <c r="M21" s="54">
        <f>IFERROR(IF(L21="","",ROUND(L21*$M$11,2)),"")</f>
        <v/>
      </c>
      <c r="N21" s="52" t="n"/>
      <c r="O21" s="49" t="n"/>
      <c r="P21" s="49" t="n"/>
      <c r="Q21" s="48">
        <f>IF(COUNT($N21:$P21)=0,"",SUM($N21:$P21))</f>
        <v/>
      </c>
      <c r="R21" s="47">
        <f>IFERROR(IF(Q21="","",ROUND(Q21/$Q$11*100,2)),"")</f>
        <v/>
      </c>
      <c r="S21" s="54">
        <f>IFERROR(IF(R21="","",ROUND(R21*$S$11,2)),"")</f>
        <v/>
      </c>
      <c r="T21" s="265" t="n"/>
      <c r="U21" s="46" t="n"/>
      <c r="V21" s="268" t="n"/>
      <c r="W21" s="272">
        <f>IF(COUNT($T21:$V21)=0,"",SUM($T21:$V21))</f>
        <v/>
      </c>
      <c r="X21" s="352">
        <f>IFERROR(IF(W21="","",ROUND((($T21/$T$11)*30 + ($U21/$U$11)*30 + ($V21/$V$11)*40),2)),"")</f>
        <v/>
      </c>
      <c r="Y21" s="54">
        <f>IFERROR(IF(X21="","",ROUND(X21*$Y$11,2)),"")</f>
        <v/>
      </c>
      <c r="Z21" s="55">
        <f>IFERROR(M21+S21+Y21,"")</f>
        <v/>
      </c>
      <c r="AA21" s="274">
        <f>IFERROR(VLOOKUP(Z21,'Helper(IMPORTANT!)'!$CQ$1:$CR$41,2,TRUE),"")</f>
        <v/>
      </c>
      <c r="AB21" s="170">
        <f t="array" ref="AB21">IF(AA21="", "", _xlfn.IFS(AA21&gt;=90, "A", AA21&gt;=80, "B", AA21&gt;=75, "C", AA21&gt;=65, "D", AA21&gt;=0, "E"))</f>
        <v/>
      </c>
      <c r="AD21" s="39" t="n"/>
      <c r="AF21" s="451" t="n"/>
      <c r="AG21" s="649" t="n"/>
      <c r="AH21" s="649" t="n"/>
      <c r="AI21" s="649" t="n"/>
    </row>
    <row r="22" ht="18" customHeight="1">
      <c r="A22" s="169" t="n">
        <v>10</v>
      </c>
      <c r="B22" s="442">
        <f>'INPUT DATA'!L20</f>
        <v/>
      </c>
      <c r="C22" s="673" t="n"/>
      <c r="D22" s="673" t="n"/>
      <c r="E22" s="674" t="n"/>
      <c r="F22" s="52" t="n"/>
      <c r="G22" s="49" t="n"/>
      <c r="H22" s="49" t="n"/>
      <c r="I22" s="49" t="n"/>
      <c r="J22" s="49" t="n"/>
      <c r="K22" s="48">
        <f>IF(COUNT($F22:$J22)=0,"",SUM($F22:$J22))</f>
        <v/>
      </c>
      <c r="L22" s="47">
        <f>IFERROR(IF(K22="","",ROUND(K22/$K$11*100,2)),"")</f>
        <v/>
      </c>
      <c r="M22" s="54">
        <f>IFERROR(IF(L22="","",ROUND(L22*$M$11,2)),"")</f>
        <v/>
      </c>
      <c r="N22" s="52" t="n"/>
      <c r="O22" s="49" t="n"/>
      <c r="P22" s="49" t="n"/>
      <c r="Q22" s="48">
        <f>IF(COUNT($N22:$P22)=0,"",SUM($N22:$P22))</f>
        <v/>
      </c>
      <c r="R22" s="47">
        <f>IFERROR(IF(Q22="","",ROUND(Q22/$Q$11*100,2)),"")</f>
        <v/>
      </c>
      <c r="S22" s="54">
        <f>IFERROR(IF(R22="","",ROUND(R22*$S$11,2)),"")</f>
        <v/>
      </c>
      <c r="T22" s="265" t="n"/>
      <c r="U22" s="46" t="n"/>
      <c r="V22" s="268" t="n"/>
      <c r="W22" s="272">
        <f>IF(COUNT($T22:$V22)=0,"",SUM($T22:$V22))</f>
        <v/>
      </c>
      <c r="X22" s="352">
        <f>IFERROR(IF(W22="","",ROUND((($T22/$T$11)*30 + ($U22/$U$11)*30 + ($V22/$V$11)*40),2)),"")</f>
        <v/>
      </c>
      <c r="Y22" s="54">
        <f>IFERROR(IF(X22="","",ROUND(X22*$Y$11,2)),"")</f>
        <v/>
      </c>
      <c r="Z22" s="55">
        <f>IFERROR(M22+S22+Y22,"")</f>
        <v/>
      </c>
      <c r="AA22" s="274">
        <f>IFERROR(VLOOKUP(Z22,'Helper(IMPORTANT!)'!$CQ$1:$CR$41,2,TRUE),"")</f>
        <v/>
      </c>
      <c r="AB22" s="170">
        <f t="array" ref="AB22">IF(AA22="", "", _xlfn.IFS(AA22&gt;=90, "A", AA22&gt;=80, "B", AA22&gt;=75, "C", AA22&gt;=65, "D", AA22&gt;=0, "E"))</f>
        <v/>
      </c>
      <c r="AD22" s="39" t="n"/>
      <c r="AF22" s="451" t="n"/>
      <c r="AG22" s="649" t="n"/>
      <c r="AH22" s="649" t="n"/>
      <c r="AI22" s="649" t="n"/>
    </row>
    <row r="23" ht="18" customHeight="1">
      <c r="A23" s="169" t="n">
        <v>11</v>
      </c>
      <c r="B23" s="442">
        <f>'INPUT DATA'!L21</f>
        <v/>
      </c>
      <c r="C23" s="673" t="n"/>
      <c r="D23" s="673" t="n"/>
      <c r="E23" s="674" t="n"/>
      <c r="F23" s="52" t="n"/>
      <c r="G23" s="49" t="n"/>
      <c r="H23" s="49" t="n"/>
      <c r="I23" s="49" t="n"/>
      <c r="J23" s="49" t="n"/>
      <c r="K23" s="48">
        <f>IF(COUNT($F23:$J23)=0,"",SUM($F23:$J23))</f>
        <v/>
      </c>
      <c r="L23" s="47">
        <f>IFERROR(IF(K23="","",ROUND(K23/$K$11*100,2)),"")</f>
        <v/>
      </c>
      <c r="M23" s="54">
        <f>IFERROR(IF(L23="","",ROUND(L23*$M$11,2)),"")</f>
        <v/>
      </c>
      <c r="N23" s="52" t="n"/>
      <c r="O23" s="49" t="n"/>
      <c r="P23" s="49" t="n"/>
      <c r="Q23" s="48">
        <f>IF(COUNT($N23:$P23)=0,"",SUM($N23:$P23))</f>
        <v/>
      </c>
      <c r="R23" s="47">
        <f>IFERROR(IF(Q23="","",ROUND(Q23/$Q$11*100,2)),"")</f>
        <v/>
      </c>
      <c r="S23" s="54">
        <f>IFERROR(IF(R23="","",ROUND(R23*$S$11,2)),"")</f>
        <v/>
      </c>
      <c r="T23" s="265" t="n"/>
      <c r="U23" s="46" t="n"/>
      <c r="V23" s="268" t="n"/>
      <c r="W23" s="272">
        <f>IF(COUNT($T23:$V23)=0,"",SUM($T23:$V23))</f>
        <v/>
      </c>
      <c r="X23" s="352">
        <f>IFERROR(IF(W23="","",ROUND((($T23/$T$11)*30 + ($U23/$U$11)*30 + ($V23/$V$11)*40),2)),"")</f>
        <v/>
      </c>
      <c r="Y23" s="54">
        <f>IFERROR(IF(X23="","",ROUND(X23*$Y$11,2)),"")</f>
        <v/>
      </c>
      <c r="Z23" s="55">
        <f>IFERROR(M23+S23+Y23,"")</f>
        <v/>
      </c>
      <c r="AA23" s="274">
        <f>IFERROR(VLOOKUP(Z23,'Helper(IMPORTANT!)'!$CQ$1:$CR$41,2,TRUE),"")</f>
        <v/>
      </c>
      <c r="AB23" s="170">
        <f t="array" ref="AB23">IF(AA23="", "", _xlfn.IFS(AA23&gt;=90, "A", AA23&gt;=80, "B", AA23&gt;=75, "C", AA23&gt;=65, "D", AA23&gt;=0, "E"))</f>
        <v/>
      </c>
      <c r="AD23" s="39" t="n"/>
      <c r="AF23" s="450" t="n"/>
      <c r="AG23" s="649" t="n"/>
      <c r="AH23" s="649" t="n"/>
      <c r="AI23" s="649" t="n"/>
    </row>
    <row r="24" ht="18" customHeight="1">
      <c r="A24" s="169" t="n">
        <v>12</v>
      </c>
      <c r="B24" s="442">
        <f>'INPUT DATA'!L22</f>
        <v/>
      </c>
      <c r="C24" s="673" t="n"/>
      <c r="D24" s="673" t="n"/>
      <c r="E24" s="674" t="n"/>
      <c r="F24" s="52" t="n"/>
      <c r="G24" s="49" t="n"/>
      <c r="H24" s="49" t="n"/>
      <c r="I24" s="49" t="n"/>
      <c r="J24" s="49" t="n"/>
      <c r="K24" s="48">
        <f>IF(COUNT($F24:$J24)=0,"",SUM($F24:$J24))</f>
        <v/>
      </c>
      <c r="L24" s="47">
        <f>IFERROR(IF(K24="","",ROUND(K24/$K$11*100,2)),"")</f>
        <v/>
      </c>
      <c r="M24" s="54">
        <f>IFERROR(IF(L24="","",ROUND(L24*$M$11,2)),"")</f>
        <v/>
      </c>
      <c r="N24" s="52" t="n"/>
      <c r="O24" s="49" t="n"/>
      <c r="P24" s="49" t="n"/>
      <c r="Q24" s="48">
        <f>IF(COUNT($N24:$P24)=0,"",SUM($N24:$P24))</f>
        <v/>
      </c>
      <c r="R24" s="47">
        <f>IFERROR(IF(Q24="","",ROUND(Q24/$Q$11*100,2)),"")</f>
        <v/>
      </c>
      <c r="S24" s="54">
        <f>IFERROR(IF(R24="","",ROUND(R24*$S$11,2)),"")</f>
        <v/>
      </c>
      <c r="T24" s="265" t="n"/>
      <c r="U24" s="46" t="n"/>
      <c r="V24" s="268" t="n"/>
      <c r="W24" s="272">
        <f>IF(COUNT($T24:$V24)=0,"",SUM($T24:$V24))</f>
        <v/>
      </c>
      <c r="X24" s="352">
        <f>IFERROR(IF(W24="","",ROUND((($T24/$T$11)*30 + ($U24/$U$11)*30 + ($V24/$V$11)*40),2)),"")</f>
        <v/>
      </c>
      <c r="Y24" s="54">
        <f>IFERROR(IF(X24="","",ROUND(X24*$Y$11,2)),"")</f>
        <v/>
      </c>
      <c r="Z24" s="55">
        <f>IFERROR(M24+S24+Y24,"")</f>
        <v/>
      </c>
      <c r="AA24" s="274">
        <f>IFERROR(VLOOKUP(Z24,'Helper(IMPORTANT!)'!$CQ$1:$CR$41,2,TRUE),"")</f>
        <v/>
      </c>
      <c r="AB24" s="170">
        <f t="array" ref="AB24">IF(AA24="", "", _xlfn.IFS(AA24&gt;=90, "A", AA24&gt;=80, "B", AA24&gt;=75, "C", AA24&gt;=65, "D", AA24&gt;=0, "E"))</f>
        <v/>
      </c>
      <c r="AD24" s="39" t="n"/>
      <c r="AF24" s="449" t="n"/>
      <c r="AG24" s="649" t="n"/>
      <c r="AH24" s="649" t="n"/>
      <c r="AI24" s="649" t="n"/>
    </row>
    <row r="25" ht="18" customHeight="1">
      <c r="A25" s="169" t="n">
        <v>13</v>
      </c>
      <c r="B25" s="442">
        <f>'INPUT DATA'!L23</f>
        <v/>
      </c>
      <c r="C25" s="673" t="n"/>
      <c r="D25" s="673" t="n"/>
      <c r="E25" s="674" t="n"/>
      <c r="F25" s="52" t="n"/>
      <c r="G25" s="49" t="n"/>
      <c r="H25" s="49" t="n"/>
      <c r="I25" s="49" t="n"/>
      <c r="J25" s="49" t="n"/>
      <c r="K25" s="48">
        <f>IF(COUNT($F25:$J25)=0,"",SUM($F25:$J25))</f>
        <v/>
      </c>
      <c r="L25" s="47">
        <f>IFERROR(IF(K25="","",ROUND(K25/$K$11*100,2)),"")</f>
        <v/>
      </c>
      <c r="M25" s="54">
        <f>IFERROR(IF(L25="","",ROUND(L25*$M$11,2)),"")</f>
        <v/>
      </c>
      <c r="N25" s="52" t="n"/>
      <c r="O25" s="49" t="n"/>
      <c r="P25" s="49" t="n"/>
      <c r="Q25" s="48">
        <f>IF(COUNT($N25:$P25)=0,"",SUM($N25:$P25))</f>
        <v/>
      </c>
      <c r="R25" s="47">
        <f>IFERROR(IF(Q25="","",ROUND(Q25/$Q$11*100,2)),"")</f>
        <v/>
      </c>
      <c r="S25" s="54">
        <f>IFERROR(IF(R25="","",ROUND(R25*$S$11,2)),"")</f>
        <v/>
      </c>
      <c r="T25" s="265" t="n"/>
      <c r="U25" s="46" t="n"/>
      <c r="V25" s="268" t="n"/>
      <c r="W25" s="272">
        <f>IF(COUNT($T25:$V25)=0,"",SUM($T25:$V25))</f>
        <v/>
      </c>
      <c r="X25" s="352">
        <f>IFERROR(IF(W25="","",ROUND((($T25/$T$11)*30 + ($U25/$U$11)*30 + ($V25/$V$11)*40),2)),"")</f>
        <v/>
      </c>
      <c r="Y25" s="54">
        <f>IFERROR(IF(X25="","",ROUND(X25*$Y$11,2)),"")</f>
        <v/>
      </c>
      <c r="Z25" s="55">
        <f>IFERROR(M25+S25+Y25,"")</f>
        <v/>
      </c>
      <c r="AA25" s="274">
        <f>IFERROR(VLOOKUP(Z25,'Helper(IMPORTANT!)'!$CQ$1:$CR$41,2,TRUE),"")</f>
        <v/>
      </c>
      <c r="AB25" s="170">
        <f t="array" ref="AB25">IF(AA25="", "", _xlfn.IFS(AA25&gt;=90, "A", AA25&gt;=80, "B", AA25&gt;=75, "C", AA25&gt;=65, "D", AA25&gt;=0, "E"))</f>
        <v/>
      </c>
      <c r="AD25" s="39" t="n"/>
      <c r="AF25" s="449" t="n"/>
      <c r="AG25" s="649" t="n"/>
      <c r="AH25" s="649" t="n"/>
      <c r="AI25" s="649" t="n"/>
    </row>
    <row r="26" ht="18" customHeight="1">
      <c r="A26" s="169" t="n">
        <v>14</v>
      </c>
      <c r="B26" s="442">
        <f>'INPUT DATA'!L24</f>
        <v/>
      </c>
      <c r="C26" s="673" t="n"/>
      <c r="D26" s="673" t="n"/>
      <c r="E26" s="674" t="n"/>
      <c r="F26" s="52" t="n"/>
      <c r="G26" s="49" t="n"/>
      <c r="H26" s="49" t="n"/>
      <c r="I26" s="49" t="n"/>
      <c r="J26" s="49" t="n"/>
      <c r="K26" s="48">
        <f>IF(COUNT($F26:$J26)=0,"",SUM($F26:$J26))</f>
        <v/>
      </c>
      <c r="L26" s="47">
        <f>IFERROR(IF(K26="","",ROUND(K26/$K$11*100,2)),"")</f>
        <v/>
      </c>
      <c r="M26" s="54">
        <f>IFERROR(IF(L26="","",ROUND(L26*$M$11,2)),"")</f>
        <v/>
      </c>
      <c r="N26" s="52" t="n"/>
      <c r="O26" s="49" t="n"/>
      <c r="P26" s="49" t="n"/>
      <c r="Q26" s="48">
        <f>IF(COUNT($N26:$P26)=0,"",SUM($N26:$P26))</f>
        <v/>
      </c>
      <c r="R26" s="47">
        <f>IFERROR(IF(Q26="","",ROUND(Q26/$Q$11*100,2)),"")</f>
        <v/>
      </c>
      <c r="S26" s="54">
        <f>IFERROR(IF(R26="","",ROUND(R26*$S$11,2)),"")</f>
        <v/>
      </c>
      <c r="T26" s="265" t="n"/>
      <c r="U26" s="46" t="n"/>
      <c r="V26" s="268" t="n"/>
      <c r="W26" s="272">
        <f>IF(COUNT($T26:$V26)=0,"",SUM($T26:$V26))</f>
        <v/>
      </c>
      <c r="X26" s="352">
        <f>IFERROR(IF(W26="","",ROUND((($T26/$T$11)*30 + ($U26/$U$11)*30 + ($V26/$V$11)*40),2)),"")</f>
        <v/>
      </c>
      <c r="Y26" s="54">
        <f>IFERROR(IF(X26="","",ROUND(X26*$Y$11,2)),"")</f>
        <v/>
      </c>
      <c r="Z26" s="55">
        <f>IFERROR(M26+S26+Y26,"")</f>
        <v/>
      </c>
      <c r="AA26" s="274">
        <f>IFERROR(VLOOKUP(Z26,'Helper(IMPORTANT!)'!$CQ$1:$CR$41,2,TRUE),"")</f>
        <v/>
      </c>
      <c r="AB26" s="170">
        <f t="array" ref="AB26">IF(AA26="", "", _xlfn.IFS(AA26&gt;=90, "A", AA26&gt;=80, "B", AA26&gt;=75, "C", AA26&gt;=65, "D", AA26&gt;=0, "E"))</f>
        <v/>
      </c>
      <c r="AD26" s="39" t="n"/>
      <c r="AF26" s="449" t="n"/>
      <c r="AG26" s="649" t="n"/>
      <c r="AH26" s="649" t="n"/>
      <c r="AI26" s="649" t="n"/>
    </row>
    <row r="27" ht="18" customHeight="1">
      <c r="A27" s="169" t="n">
        <v>15</v>
      </c>
      <c r="B27" s="442">
        <f>'INPUT DATA'!L25</f>
        <v/>
      </c>
      <c r="C27" s="673" t="n"/>
      <c r="D27" s="673" t="n"/>
      <c r="E27" s="674" t="n"/>
      <c r="F27" s="52" t="n"/>
      <c r="G27" s="49" t="n"/>
      <c r="H27" s="49" t="n"/>
      <c r="I27" s="49" t="n"/>
      <c r="J27" s="49" t="n"/>
      <c r="K27" s="48">
        <f>IF(COUNT($F27:$J27)=0,"",SUM($F27:$J27))</f>
        <v/>
      </c>
      <c r="L27" s="47">
        <f>IFERROR(IF(K27="","",ROUND(K27/$K$11*100,2)),"")</f>
        <v/>
      </c>
      <c r="M27" s="54">
        <f>IFERROR(IF(L27="","",ROUND(L27*$M$11,2)),"")</f>
        <v/>
      </c>
      <c r="N27" s="52" t="n"/>
      <c r="O27" s="49" t="n"/>
      <c r="P27" s="49" t="n"/>
      <c r="Q27" s="48">
        <f>IF(COUNT($N27:$P27)=0,"",SUM($N27:$P27))</f>
        <v/>
      </c>
      <c r="R27" s="47">
        <f>IFERROR(IF(Q27="","",ROUND(Q27/$Q$11*100,2)),"")</f>
        <v/>
      </c>
      <c r="S27" s="54">
        <f>IFERROR(IF(R27="","",ROUND(R27*$S$11,2)),"")</f>
        <v/>
      </c>
      <c r="T27" s="265" t="n"/>
      <c r="U27" s="46" t="n"/>
      <c r="V27" s="268" t="n"/>
      <c r="W27" s="272">
        <f>IF(COUNT($T27:$V27)=0,"",SUM($T27:$V27))</f>
        <v/>
      </c>
      <c r="X27" s="352">
        <f>IFERROR(IF(W27="","",ROUND((($T27/$T$11)*30 + ($U27/$U$11)*30 + ($V27/$V$11)*40),2)),"")</f>
        <v/>
      </c>
      <c r="Y27" s="54">
        <f>IFERROR(IF(X27="","",ROUND(X27*$Y$11,2)),"")</f>
        <v/>
      </c>
      <c r="Z27" s="55">
        <f>IFERROR(M27+S27+Y27,"")</f>
        <v/>
      </c>
      <c r="AA27" s="274">
        <f>IFERROR(VLOOKUP(Z27,'Helper(IMPORTANT!)'!$CQ$1:$CR$41,2,TRUE),"")</f>
        <v/>
      </c>
      <c r="AB27" s="170">
        <f t="array" ref="AB27">IF(AA27="", "", _xlfn.IFS(AA27&gt;=90, "A", AA27&gt;=80, "B", AA27&gt;=75, "C", AA27&gt;=65, "D", AA27&gt;=0, "E"))</f>
        <v/>
      </c>
      <c r="AD27" s="39" t="n"/>
    </row>
    <row r="28" ht="18" customHeight="1">
      <c r="A28" s="169" t="n">
        <v>16</v>
      </c>
      <c r="B28" s="442">
        <f>'INPUT DATA'!L26</f>
        <v/>
      </c>
      <c r="C28" s="673" t="n"/>
      <c r="D28" s="673" t="n"/>
      <c r="E28" s="674" t="n"/>
      <c r="F28" s="52" t="n"/>
      <c r="G28" s="49" t="n"/>
      <c r="H28" s="49" t="n"/>
      <c r="I28" s="49" t="n"/>
      <c r="J28" s="49" t="n"/>
      <c r="K28" s="48">
        <f>IF(COUNT($F28:$J28)=0,"",SUM($F28:$J28))</f>
        <v/>
      </c>
      <c r="L28" s="47">
        <f>IFERROR(IF(K28="","",ROUND(K28/$K$11*100,2)),"")</f>
        <v/>
      </c>
      <c r="M28" s="54">
        <f>IFERROR(IF(L28="","",ROUND(L28*$M$11,2)),"")</f>
        <v/>
      </c>
      <c r="N28" s="52" t="n"/>
      <c r="O28" s="49" t="n"/>
      <c r="P28" s="49" t="n"/>
      <c r="Q28" s="48">
        <f>IF(COUNT($N28:$P28)=0,"",SUM($N28:$P28))</f>
        <v/>
      </c>
      <c r="R28" s="47">
        <f>IFERROR(IF(Q28="","",ROUND(Q28/$Q$11*100,2)),"")</f>
        <v/>
      </c>
      <c r="S28" s="54">
        <f>IFERROR(IF(R28="","",ROUND(R28*$S$11,2)),"")</f>
        <v/>
      </c>
      <c r="T28" s="265" t="n"/>
      <c r="U28" s="46" t="n"/>
      <c r="V28" s="268" t="n"/>
      <c r="W28" s="272">
        <f>IF(COUNT($T28:$V28)=0,"",SUM($T28:$V28))</f>
        <v/>
      </c>
      <c r="X28" s="352">
        <f>IFERROR(IF(W28="","",ROUND((($T28/$T$11)*30 + ($U28/$U$11)*30 + ($V28/$V$11)*40),2)),"")</f>
        <v/>
      </c>
      <c r="Y28" s="54">
        <f>IFERROR(IF(X28="","",ROUND(X28*$Y$11,2)),"")</f>
        <v/>
      </c>
      <c r="Z28" s="55">
        <f>IFERROR(M28+S28+Y28,"")</f>
        <v/>
      </c>
      <c r="AA28" s="274">
        <f>IFERROR(VLOOKUP(Z28,'Helper(IMPORTANT!)'!$CQ$1:$CR$41,2,TRUE),"")</f>
        <v/>
      </c>
      <c r="AB28" s="170">
        <f t="array" ref="AB28">IF(AA28="", "", _xlfn.IFS(AA28&gt;=90, "A", AA28&gt;=80, "B", AA28&gt;=75, "C", AA28&gt;=65, "D", AA28&gt;=0, "E"))</f>
        <v/>
      </c>
      <c r="AD28" s="39" t="n"/>
    </row>
    <row r="29" ht="18" customHeight="1">
      <c r="A29" s="169" t="n">
        <v>17</v>
      </c>
      <c r="B29" s="442">
        <f>'INPUT DATA'!L27</f>
        <v/>
      </c>
      <c r="C29" s="673" t="n"/>
      <c r="D29" s="673" t="n"/>
      <c r="E29" s="674" t="n"/>
      <c r="F29" s="52" t="n"/>
      <c r="G29" s="49" t="n"/>
      <c r="H29" s="49" t="n"/>
      <c r="I29" s="49" t="n"/>
      <c r="J29" s="49" t="n"/>
      <c r="K29" s="48">
        <f>IF(COUNT($F29:$J29)=0,"",SUM($F29:$J29))</f>
        <v/>
      </c>
      <c r="L29" s="47">
        <f>IFERROR(IF(K29="","",ROUND(K29/$K$11*100,2)),"")</f>
        <v/>
      </c>
      <c r="M29" s="54">
        <f>IFERROR(IF(L29="","",ROUND(L29*$M$11,2)),"")</f>
        <v/>
      </c>
      <c r="N29" s="52" t="n"/>
      <c r="O29" s="49" t="n"/>
      <c r="P29" s="49" t="n"/>
      <c r="Q29" s="48">
        <f>IF(COUNT($N29:$P29)=0,"",SUM($N29:$P29))</f>
        <v/>
      </c>
      <c r="R29" s="47">
        <f>IFERROR(IF(Q29="","",ROUND(Q29/$Q$11*100,2)),"")</f>
        <v/>
      </c>
      <c r="S29" s="54">
        <f>IFERROR(IF(R29="","",ROUND(R29*$S$11,2)),"")</f>
        <v/>
      </c>
      <c r="T29" s="265" t="n"/>
      <c r="U29" s="46" t="n"/>
      <c r="V29" s="268" t="n"/>
      <c r="W29" s="272">
        <f>IF(COUNT($T29:$V29)=0,"",SUM($T29:$V29))</f>
        <v/>
      </c>
      <c r="X29" s="352">
        <f>IFERROR(IF(W29="","",ROUND((($T29/$T$11)*30 + ($U29/$U$11)*30 + ($V29/$V$11)*40),2)),"")</f>
        <v/>
      </c>
      <c r="Y29" s="54">
        <f>IFERROR(IF(X29="","",ROUND(X29*$Y$11,2)),"")</f>
        <v/>
      </c>
      <c r="Z29" s="55">
        <f>IFERROR(M29+S29+Y29,"")</f>
        <v/>
      </c>
      <c r="AA29" s="274">
        <f>IFERROR(VLOOKUP(Z29,'Helper(IMPORTANT!)'!$CQ$1:$CR$41,2,TRUE),"")</f>
        <v/>
      </c>
      <c r="AB29" s="170">
        <f t="array" ref="AB29">IF(AA29="", "", _xlfn.IFS(AA29&gt;=90, "A", AA29&gt;=80, "B", AA29&gt;=75, "C", AA29&gt;=65, "D", AA29&gt;=0, "E"))</f>
        <v/>
      </c>
      <c r="AD29" s="39" t="n"/>
    </row>
    <row r="30" ht="18" customHeight="1">
      <c r="A30" s="169" t="n">
        <v>18</v>
      </c>
      <c r="B30" s="442">
        <f>'INPUT DATA'!L28</f>
        <v/>
      </c>
      <c r="C30" s="673" t="n"/>
      <c r="D30" s="673" t="n"/>
      <c r="E30" s="674" t="n"/>
      <c r="F30" s="52" t="n"/>
      <c r="G30" s="49" t="n"/>
      <c r="H30" s="49" t="n"/>
      <c r="I30" s="49" t="n"/>
      <c r="J30" s="49" t="n"/>
      <c r="K30" s="48">
        <f>IF(COUNT($F30:$J30)=0,"",SUM($F30:$J30))</f>
        <v/>
      </c>
      <c r="L30" s="47">
        <f>IFERROR(IF(K30="","",ROUND(K30/$K$11*100,2)),"")</f>
        <v/>
      </c>
      <c r="M30" s="54">
        <f>IFERROR(IF(L30="","",ROUND(L30*$M$11,2)),"")</f>
        <v/>
      </c>
      <c r="N30" s="52" t="n"/>
      <c r="O30" s="49" t="n"/>
      <c r="P30" s="49" t="n"/>
      <c r="Q30" s="48">
        <f>IF(COUNT($N30:$P30)=0,"",SUM($N30:$P30))</f>
        <v/>
      </c>
      <c r="R30" s="47">
        <f>IFERROR(IF(Q30="","",ROUND(Q30/$Q$11*100,2)),"")</f>
        <v/>
      </c>
      <c r="S30" s="54">
        <f>IFERROR(IF(R30="","",ROUND(R30*$S$11,2)),"")</f>
        <v/>
      </c>
      <c r="T30" s="265" t="n"/>
      <c r="U30" s="46" t="n"/>
      <c r="V30" s="268" t="n"/>
      <c r="W30" s="272">
        <f>IF(COUNT($T30:$V30)=0,"",SUM($T30:$V30))</f>
        <v/>
      </c>
      <c r="X30" s="352">
        <f>IFERROR(IF(W30="","",ROUND((($T30/$T$11)*30 + ($U30/$U$11)*30 + ($V30/$V$11)*40),2)),"")</f>
        <v/>
      </c>
      <c r="Y30" s="54">
        <f>IFERROR(IF(X30="","",ROUND(X30*$Y$11,2)),"")</f>
        <v/>
      </c>
      <c r="Z30" s="55">
        <f>IFERROR(M30+S30+Y30,"")</f>
        <v/>
      </c>
      <c r="AA30" s="274">
        <f>IFERROR(VLOOKUP(Z30,'Helper(IMPORTANT!)'!$CQ$1:$CR$41,2,TRUE),"")</f>
        <v/>
      </c>
      <c r="AB30" s="170">
        <f t="array" ref="AB30">IF(AA30="", "", _xlfn.IFS(AA30&gt;=90, "A", AA30&gt;=80, "B", AA30&gt;=75, "C", AA30&gt;=65, "D", AA30&gt;=0, "E"))</f>
        <v/>
      </c>
      <c r="AD30" s="39" t="n"/>
    </row>
    <row r="31" ht="18" customHeight="1">
      <c r="A31" s="169" t="n">
        <v>19</v>
      </c>
      <c r="B31" s="442">
        <f>'INPUT DATA'!L29</f>
        <v/>
      </c>
      <c r="C31" s="673" t="n"/>
      <c r="D31" s="673" t="n"/>
      <c r="E31" s="674" t="n"/>
      <c r="F31" s="52" t="n"/>
      <c r="G31" s="49" t="n"/>
      <c r="H31" s="49" t="n"/>
      <c r="I31" s="49" t="n"/>
      <c r="J31" s="49" t="n"/>
      <c r="K31" s="48">
        <f>IF(COUNT($F31:$J31)=0,"",SUM($F31:$J31))</f>
        <v/>
      </c>
      <c r="L31" s="47">
        <f>IFERROR(IF(K31="","",ROUND(K31/$K$11*100,2)),"")</f>
        <v/>
      </c>
      <c r="M31" s="54">
        <f>IFERROR(IF(L31="","",ROUND(L31*$M$11,2)),"")</f>
        <v/>
      </c>
      <c r="N31" s="52" t="n"/>
      <c r="O31" s="49" t="n"/>
      <c r="P31" s="49" t="n"/>
      <c r="Q31" s="48">
        <f>IF(COUNT($N31:$P31)=0,"",SUM($N31:$P31))</f>
        <v/>
      </c>
      <c r="R31" s="47">
        <f>IFERROR(IF(Q31="","",ROUND(Q31/$Q$11*100,2)),"")</f>
        <v/>
      </c>
      <c r="S31" s="54">
        <f>IFERROR(IF(R31="","",ROUND(R31*$S$11,2)),"")</f>
        <v/>
      </c>
      <c r="T31" s="265" t="n"/>
      <c r="U31" s="46" t="n"/>
      <c r="V31" s="268" t="n"/>
      <c r="W31" s="272">
        <f>IF(COUNT($T31:$V31)=0,"",SUM($T31:$V31))</f>
        <v/>
      </c>
      <c r="X31" s="352">
        <f>IFERROR(IF(W31="","",ROUND((($T31/$T$11)*30 + ($U31/$U$11)*30 + ($V31/$V$11)*40),2)),"")</f>
        <v/>
      </c>
      <c r="Y31" s="54">
        <f>IFERROR(IF(X31="","",ROUND(X31*$Y$11,2)),"")</f>
        <v/>
      </c>
      <c r="Z31" s="55">
        <f>IFERROR(M31+S31+Y31,"")</f>
        <v/>
      </c>
      <c r="AA31" s="274">
        <f>IFERROR(VLOOKUP(Z31,'Helper(IMPORTANT!)'!$CQ$1:$CR$41,2,TRUE),"")</f>
        <v/>
      </c>
      <c r="AB31" s="170">
        <f t="array" ref="AB31">IF(AA31="", "", _xlfn.IFS(AA31&gt;=90, "A", AA31&gt;=80, "B", AA31&gt;=75, "C", AA31&gt;=65, "D", AA31&gt;=0, "E"))</f>
        <v/>
      </c>
      <c r="AD31" s="39" t="n"/>
    </row>
    <row r="32" ht="18" customHeight="1">
      <c r="A32" s="169" t="n">
        <v>20</v>
      </c>
      <c r="B32" s="442">
        <f>'INPUT DATA'!L30</f>
        <v/>
      </c>
      <c r="C32" s="673" t="n"/>
      <c r="D32" s="673" t="n"/>
      <c r="E32" s="674" t="n"/>
      <c r="F32" s="52" t="n"/>
      <c r="G32" s="49" t="n"/>
      <c r="H32" s="49" t="n"/>
      <c r="I32" s="49" t="n"/>
      <c r="J32" s="49" t="n"/>
      <c r="K32" s="48">
        <f>IF(COUNT($F32:$J32)=0,"",SUM($F32:$J32))</f>
        <v/>
      </c>
      <c r="L32" s="47">
        <f>IFERROR(IF(K32="","",ROUND(K32/$K$11*100,2)),"")</f>
        <v/>
      </c>
      <c r="M32" s="54">
        <f>IFERROR(IF(L32="","",ROUND(L32*$M$11,2)),"")</f>
        <v/>
      </c>
      <c r="N32" s="52" t="n"/>
      <c r="O32" s="49" t="n"/>
      <c r="P32" s="49" t="n"/>
      <c r="Q32" s="48">
        <f>IF(COUNT($N32:$P32)=0,"",SUM($N32:$P32))</f>
        <v/>
      </c>
      <c r="R32" s="47">
        <f>IFERROR(IF(Q32="","",ROUND(Q32/$Q$11*100,2)),"")</f>
        <v/>
      </c>
      <c r="S32" s="54">
        <f>IFERROR(IF(R32="","",ROUND(R32*$S$11,2)),"")</f>
        <v/>
      </c>
      <c r="T32" s="265" t="n"/>
      <c r="U32" s="46" t="n"/>
      <c r="V32" s="268" t="n"/>
      <c r="W32" s="272">
        <f>IF(COUNT($T32:$V32)=0,"",SUM($T32:$V32))</f>
        <v/>
      </c>
      <c r="X32" s="352">
        <f>IFERROR(IF(W32="","",ROUND((($T32/$T$11)*30 + ($U32/$U$11)*30 + ($V32/$V$11)*40),2)),"")</f>
        <v/>
      </c>
      <c r="Y32" s="54">
        <f>IFERROR(IF(X32="","",ROUND(X32*$Y$11,2)),"")</f>
        <v/>
      </c>
      <c r="Z32" s="55">
        <f>IFERROR(M32+S32+Y32,"")</f>
        <v/>
      </c>
      <c r="AA32" s="274">
        <f>IFERROR(VLOOKUP(Z32,'Helper(IMPORTANT!)'!$CQ$1:$CR$41,2,TRUE),"")</f>
        <v/>
      </c>
      <c r="AB32" s="170">
        <f t="array" ref="AB32">IF(AA32="", "", _xlfn.IFS(AA32&gt;=90, "A", AA32&gt;=80, "B", AA32&gt;=75, "C", AA32&gt;=65, "D", AA32&gt;=0, "E"))</f>
        <v/>
      </c>
      <c r="AD32" s="39" t="n"/>
    </row>
    <row r="33" ht="18" customHeight="1">
      <c r="A33" s="169" t="n">
        <v>21</v>
      </c>
      <c r="B33" s="442">
        <f>'INPUT DATA'!L31</f>
        <v/>
      </c>
      <c r="C33" s="673" t="n"/>
      <c r="D33" s="673" t="n"/>
      <c r="E33" s="674" t="n"/>
      <c r="F33" s="52" t="n"/>
      <c r="G33" s="49" t="n"/>
      <c r="H33" s="49" t="n"/>
      <c r="I33" s="49" t="n"/>
      <c r="J33" s="49" t="n"/>
      <c r="K33" s="48">
        <f>IF(COUNT($F33:$J33)=0,"",SUM($F33:$J33))</f>
        <v/>
      </c>
      <c r="L33" s="47">
        <f>IFERROR(IF(K33="","",ROUND(K33/$K$11*100,2)),"")</f>
        <v/>
      </c>
      <c r="M33" s="54">
        <f>IFERROR(IF(L33="","",ROUND(L33*$M$11,2)),"")</f>
        <v/>
      </c>
      <c r="N33" s="52" t="n"/>
      <c r="O33" s="49" t="n"/>
      <c r="P33" s="49" t="n"/>
      <c r="Q33" s="48">
        <f>IF(COUNT($N33:$P33)=0,"",SUM($N33:$P33))</f>
        <v/>
      </c>
      <c r="R33" s="47">
        <f>IFERROR(IF(Q33="","",ROUND(Q33/$Q$11*100,2)),"")</f>
        <v/>
      </c>
      <c r="S33" s="54">
        <f>IFERROR(IF(R33="","",ROUND(R33*$S$11,2)),"")</f>
        <v/>
      </c>
      <c r="T33" s="265" t="n"/>
      <c r="U33" s="46" t="n"/>
      <c r="V33" s="268" t="n"/>
      <c r="W33" s="272">
        <f>IF(COUNT($T33:$V33)=0,"",SUM($T33:$V33))</f>
        <v/>
      </c>
      <c r="X33" s="352">
        <f>IFERROR(IF(W33="","",ROUND((($T33/$T$11)*30 + ($U33/$U$11)*30 + ($V33/$V$11)*40),2)),"")</f>
        <v/>
      </c>
      <c r="Y33" s="54">
        <f>IFERROR(IF(X33="","",ROUND(X33*$Y$11,2)),"")</f>
        <v/>
      </c>
      <c r="Z33" s="55">
        <f>IFERROR(M33+S33+Y33,"")</f>
        <v/>
      </c>
      <c r="AA33" s="274">
        <f>IFERROR(VLOOKUP(Z33,'Helper(IMPORTANT!)'!$CQ$1:$CR$41,2,TRUE),"")</f>
        <v/>
      </c>
      <c r="AB33" s="170">
        <f t="array" ref="AB33">IF(AA33="", "", _xlfn.IFS(AA33&gt;=90, "A", AA33&gt;=80, "B", AA33&gt;=75, "C", AA33&gt;=65, "D", AA33&gt;=0, "E"))</f>
        <v/>
      </c>
      <c r="AD33" s="39" t="n"/>
    </row>
    <row r="34" ht="18" customHeight="1">
      <c r="A34" s="169" t="n">
        <v>22</v>
      </c>
      <c r="B34" s="442">
        <f>'INPUT DATA'!L32</f>
        <v/>
      </c>
      <c r="C34" s="673" t="n"/>
      <c r="D34" s="673" t="n"/>
      <c r="E34" s="674" t="n"/>
      <c r="F34" s="52" t="n"/>
      <c r="G34" s="49" t="n"/>
      <c r="H34" s="49" t="n"/>
      <c r="I34" s="49" t="n"/>
      <c r="J34" s="49" t="n"/>
      <c r="K34" s="48">
        <f>IF(COUNT($F34:$J34)=0,"",SUM($F34:$J34))</f>
        <v/>
      </c>
      <c r="L34" s="47">
        <f>IFERROR(IF(K34="","",ROUND(K34/$K$11*100,2)),"")</f>
        <v/>
      </c>
      <c r="M34" s="54">
        <f>IFERROR(IF(L34="","",ROUND(L34*$M$11,2)),"")</f>
        <v/>
      </c>
      <c r="N34" s="52" t="n"/>
      <c r="O34" s="49" t="n"/>
      <c r="P34" s="49" t="n"/>
      <c r="Q34" s="48">
        <f>IF(COUNT($N34:$P34)=0,"",SUM($N34:$P34))</f>
        <v/>
      </c>
      <c r="R34" s="47">
        <f>IFERROR(IF(Q34="","",ROUND(Q34/$Q$11*100,2)),"")</f>
        <v/>
      </c>
      <c r="S34" s="54">
        <f>IFERROR(IF(R34="","",ROUND(R34*$S$11,2)),"")</f>
        <v/>
      </c>
      <c r="T34" s="265" t="n"/>
      <c r="U34" s="46" t="n"/>
      <c r="V34" s="268" t="n"/>
      <c r="W34" s="272">
        <f>IF(COUNT($T34:$V34)=0,"",SUM($T34:$V34))</f>
        <v/>
      </c>
      <c r="X34" s="352">
        <f>IFERROR(IF(W34="","",ROUND((($T34/$T$11)*30 + ($U34/$U$11)*30 + ($V34/$V$11)*40),2)),"")</f>
        <v/>
      </c>
      <c r="Y34" s="54">
        <f>IFERROR(IF(X34="","",ROUND(X34*$Y$11,2)),"")</f>
        <v/>
      </c>
      <c r="Z34" s="55">
        <f>IFERROR(M34+S34+Y34,"")</f>
        <v/>
      </c>
      <c r="AA34" s="274">
        <f>IFERROR(VLOOKUP(Z34,'Helper(IMPORTANT!)'!$CQ$1:$CR$41,2,TRUE),"")</f>
        <v/>
      </c>
      <c r="AB34" s="170">
        <f t="array" ref="AB34">IF(AA34="", "", _xlfn.IFS(AA34&gt;=90, "A", AA34&gt;=80, "B", AA34&gt;=75, "C", AA34&gt;=65, "D", AA34&gt;=0, "E"))</f>
        <v/>
      </c>
      <c r="AD34" s="39" t="n"/>
      <c r="AG34" s="38" t="n"/>
      <c r="AH34" s="38" t="n"/>
      <c r="AI34" s="38" t="n"/>
    </row>
    <row r="35" ht="18" customHeight="1">
      <c r="A35" s="169" t="n">
        <v>23</v>
      </c>
      <c r="B35" s="442">
        <f>'INPUT DATA'!L33</f>
        <v/>
      </c>
      <c r="C35" s="673" t="n"/>
      <c r="D35" s="673" t="n"/>
      <c r="E35" s="674" t="n"/>
      <c r="F35" s="52" t="n"/>
      <c r="G35" s="49" t="n"/>
      <c r="H35" s="49" t="n"/>
      <c r="I35" s="49" t="n"/>
      <c r="J35" s="49" t="n"/>
      <c r="K35" s="48">
        <f>IF(COUNT($F35:$J35)=0,"",SUM($F35:$J35))</f>
        <v/>
      </c>
      <c r="L35" s="47">
        <f>IFERROR(IF(K35="","",ROUND(K35/$K$11*100,2)),"")</f>
        <v/>
      </c>
      <c r="M35" s="54">
        <f>IFERROR(IF(L35="","",ROUND(L35*$M$11,2)),"")</f>
        <v/>
      </c>
      <c r="N35" s="52" t="n"/>
      <c r="O35" s="49" t="n"/>
      <c r="P35" s="49" t="n"/>
      <c r="Q35" s="48">
        <f>IF(COUNT($N35:$P35)=0,"",SUM($N35:$P35))</f>
        <v/>
      </c>
      <c r="R35" s="47">
        <f>IFERROR(IF(Q35="","",ROUND(Q35/$Q$11*100,2)),"")</f>
        <v/>
      </c>
      <c r="S35" s="54">
        <f>IFERROR(IF(R35="","",ROUND(R35*$S$11,2)),"")</f>
        <v/>
      </c>
      <c r="T35" s="265" t="n"/>
      <c r="U35" s="46" t="n"/>
      <c r="V35" s="268" t="n"/>
      <c r="W35" s="272">
        <f>IF(COUNT($T35:$V35)=0,"",SUM($T35:$V35))</f>
        <v/>
      </c>
      <c r="X35" s="352">
        <f>IFERROR(IF(W35="","",ROUND((($T35/$T$11)*30 + ($U35/$U$11)*30 + ($V35/$V$11)*40),2)),"")</f>
        <v/>
      </c>
      <c r="Y35" s="54">
        <f>IFERROR(IF(X35="","",ROUND(X35*$Y$11,2)),"")</f>
        <v/>
      </c>
      <c r="Z35" s="55">
        <f>IFERROR(M35+S35+Y35,"")</f>
        <v/>
      </c>
      <c r="AA35" s="274">
        <f>IFERROR(VLOOKUP(Z35,'Helper(IMPORTANT!)'!$CQ$1:$CR$41,2,TRUE),"")</f>
        <v/>
      </c>
      <c r="AB35" s="170">
        <f t="array" ref="AB35">IF(AA35="", "", _xlfn.IFS(AA35&gt;=90, "A", AA35&gt;=80, "B", AA35&gt;=75, "C", AA35&gt;=65, "D", AA35&gt;=0, "E"))</f>
        <v/>
      </c>
      <c r="AD35" s="39" t="n"/>
      <c r="AG35" s="38" t="n"/>
      <c r="AH35" s="38" t="n"/>
      <c r="AI35" s="38" t="n"/>
    </row>
    <row r="36" ht="18" customHeight="1">
      <c r="A36" s="169" t="n">
        <v>24</v>
      </c>
      <c r="B36" s="442">
        <f>'INPUT DATA'!L34</f>
        <v/>
      </c>
      <c r="C36" s="673" t="n"/>
      <c r="D36" s="673" t="n"/>
      <c r="E36" s="674" t="n"/>
      <c r="F36" s="52" t="n"/>
      <c r="G36" s="49" t="n"/>
      <c r="H36" s="49" t="n"/>
      <c r="I36" s="49" t="n"/>
      <c r="J36" s="49" t="n"/>
      <c r="K36" s="48">
        <f>IF(COUNT($F36:$J36)=0,"",SUM($F36:$J36))</f>
        <v/>
      </c>
      <c r="L36" s="47">
        <f>IFERROR(IF(K36="","",ROUND(K36/$K$11*100,2)),"")</f>
        <v/>
      </c>
      <c r="M36" s="54">
        <f>IFERROR(IF(L36="","",ROUND(L36*$M$11,2)),"")</f>
        <v/>
      </c>
      <c r="N36" s="52" t="n"/>
      <c r="O36" s="49" t="n"/>
      <c r="P36" s="49" t="n"/>
      <c r="Q36" s="48">
        <f>IF(COUNT($N36:$P36)=0,"",SUM($N36:$P36))</f>
        <v/>
      </c>
      <c r="R36" s="47">
        <f>IFERROR(IF(Q36="","",ROUND(Q36/$Q$11*100,2)),"")</f>
        <v/>
      </c>
      <c r="S36" s="54">
        <f>IFERROR(IF(R36="","",ROUND(R36*$S$11,2)),"")</f>
        <v/>
      </c>
      <c r="T36" s="265" t="n"/>
      <c r="U36" s="46" t="n"/>
      <c r="V36" s="268" t="n"/>
      <c r="W36" s="272">
        <f>IF(COUNT($T36:$V36)=0,"",SUM($T36:$V36))</f>
        <v/>
      </c>
      <c r="X36" s="352">
        <f>IFERROR(IF(W36="","",ROUND((($T36/$T$11)*30 + ($U36/$U$11)*30 + ($V36/$V$11)*40),2)),"")</f>
        <v/>
      </c>
      <c r="Y36" s="54">
        <f>IFERROR(IF(X36="","",ROUND(X36*$Y$11,2)),"")</f>
        <v/>
      </c>
      <c r="Z36" s="55">
        <f>IFERROR(M36+S36+Y36,"")</f>
        <v/>
      </c>
      <c r="AA36" s="274">
        <f>IFERROR(VLOOKUP(Z36,'Helper(IMPORTANT!)'!$CQ$1:$CR$41,2,TRUE),"")</f>
        <v/>
      </c>
      <c r="AB36" s="170">
        <f t="array" ref="AB36">IF(AA36="", "", _xlfn.IFS(AA36&gt;=90, "A", AA36&gt;=80, "B", AA36&gt;=75, "C", AA36&gt;=65, "D", AA36&gt;=0, "E"))</f>
        <v/>
      </c>
      <c r="AD36" s="39" t="n"/>
      <c r="AG36" s="38" t="n"/>
      <c r="AH36" s="38" t="n"/>
      <c r="AI36" s="38" t="n"/>
    </row>
    <row r="37" ht="18" customHeight="1">
      <c r="A37" s="169" t="n">
        <v>25</v>
      </c>
      <c r="B37" s="442">
        <f>'INPUT DATA'!L35</f>
        <v/>
      </c>
      <c r="C37" s="673" t="n"/>
      <c r="D37" s="673" t="n"/>
      <c r="E37" s="674" t="n"/>
      <c r="F37" s="52" t="n"/>
      <c r="G37" s="49" t="n"/>
      <c r="H37" s="49" t="n"/>
      <c r="I37" s="49" t="n"/>
      <c r="J37" s="49" t="n"/>
      <c r="K37" s="48">
        <f>IF(COUNT($F37:$J37)=0,"",SUM($F37:$J37))</f>
        <v/>
      </c>
      <c r="L37" s="47">
        <f>IFERROR(IF(K37="","",ROUND(K37/$K$11*100,2)),"")</f>
        <v/>
      </c>
      <c r="M37" s="54">
        <f>IFERROR(IF(L37="","",ROUND(L37*$M$11,2)),"")</f>
        <v/>
      </c>
      <c r="N37" s="52" t="n"/>
      <c r="O37" s="49" t="n"/>
      <c r="P37" s="49" t="n"/>
      <c r="Q37" s="48">
        <f>IF(COUNT($N37:$P37)=0,"",SUM($N37:$P37))</f>
        <v/>
      </c>
      <c r="R37" s="47">
        <f>IFERROR(IF(Q37="","",ROUND(Q37/$Q$11*100,2)),"")</f>
        <v/>
      </c>
      <c r="S37" s="54">
        <f>IFERROR(IF(R37="","",ROUND(R37*$S$11,2)),"")</f>
        <v/>
      </c>
      <c r="T37" s="265" t="n"/>
      <c r="U37" s="46" t="n"/>
      <c r="V37" s="268" t="n"/>
      <c r="W37" s="272">
        <f>IF(COUNT($T37:$V37)=0,"",SUM($T37:$V37))</f>
        <v/>
      </c>
      <c r="X37" s="352">
        <f>IFERROR(IF(W37="","",ROUND((($T37/$T$11)*30 + ($U37/$U$11)*30 + ($V37/$V$11)*40),2)),"")</f>
        <v/>
      </c>
      <c r="Y37" s="54">
        <f>IFERROR(IF(X37="","",ROUND(X37*$Y$11,2)),"")</f>
        <v/>
      </c>
      <c r="Z37" s="55">
        <f>IFERROR(M37+S37+Y37,"")</f>
        <v/>
      </c>
      <c r="AA37" s="274">
        <f>IFERROR(VLOOKUP(Z37,'Helper(IMPORTANT!)'!$CQ$1:$CR$41,2,TRUE),"")</f>
        <v/>
      </c>
      <c r="AB37" s="170">
        <f t="array" ref="AB37">IF(AA37="", "", _xlfn.IFS(AA37&gt;=90, "A", AA37&gt;=80, "B", AA37&gt;=75, "C", AA37&gt;=65, "D", AA37&gt;=0, "E"))</f>
        <v/>
      </c>
      <c r="AD37" s="39" t="n"/>
      <c r="AG37" s="38" t="n"/>
      <c r="AH37" s="38" t="n"/>
      <c r="AI37" s="38" t="n"/>
    </row>
    <row r="38" ht="18" customHeight="1">
      <c r="A38" s="169" t="n">
        <v>26</v>
      </c>
      <c r="B38" s="442">
        <f>'INPUT DATA'!L36</f>
        <v/>
      </c>
      <c r="C38" s="673" t="n"/>
      <c r="D38" s="673" t="n"/>
      <c r="E38" s="674" t="n"/>
      <c r="F38" s="52" t="n"/>
      <c r="G38" s="49" t="n"/>
      <c r="H38" s="49" t="n"/>
      <c r="I38" s="49" t="n"/>
      <c r="J38" s="49" t="n"/>
      <c r="K38" s="48">
        <f>IF(COUNT($F38:$J38)=0,"",SUM($F38:$J38))</f>
        <v/>
      </c>
      <c r="L38" s="47">
        <f>IFERROR(IF(K38="","",ROUND(K38/$K$11*100,2)),"")</f>
        <v/>
      </c>
      <c r="M38" s="54">
        <f>IFERROR(IF(L38="","",ROUND(L38*$M$11,2)),"")</f>
        <v/>
      </c>
      <c r="N38" s="52" t="n"/>
      <c r="O38" s="49" t="n"/>
      <c r="P38" s="49" t="n"/>
      <c r="Q38" s="48">
        <f>IF(COUNT($N38:$P38)=0,"",SUM($N38:$P38))</f>
        <v/>
      </c>
      <c r="R38" s="47">
        <f>IFERROR(IF(Q38="","",ROUND(Q38/$Q$11*100,2)),"")</f>
        <v/>
      </c>
      <c r="S38" s="54">
        <f>IFERROR(IF(R38="","",ROUND(R38*$S$11,2)),"")</f>
        <v/>
      </c>
      <c r="T38" s="265" t="n"/>
      <c r="U38" s="46" t="n"/>
      <c r="V38" s="268" t="n"/>
      <c r="W38" s="272">
        <f>IF(COUNT($T38:$V38)=0,"",SUM($T38:$V38))</f>
        <v/>
      </c>
      <c r="X38" s="352">
        <f>IFERROR(IF(W38="","",ROUND((($T38/$T$11)*30 + ($U38/$U$11)*30 + ($V38/$V$11)*40),2)),"")</f>
        <v/>
      </c>
      <c r="Y38" s="54">
        <f>IFERROR(IF(X38="","",ROUND(X38*$Y$11,2)),"")</f>
        <v/>
      </c>
      <c r="Z38" s="55">
        <f>IFERROR(M38+S38+Y38,"")</f>
        <v/>
      </c>
      <c r="AA38" s="274">
        <f>IFERROR(VLOOKUP(Z38,'Helper(IMPORTANT!)'!$CQ$1:$CR$41,2,TRUE),"")</f>
        <v/>
      </c>
      <c r="AB38" s="170">
        <f t="array" ref="AB38">IF(AA38="", "", _xlfn.IFS(AA38&gt;=90, "A", AA38&gt;=80, "B", AA38&gt;=75, "C", AA38&gt;=65, "D", AA38&gt;=0, "E"))</f>
        <v/>
      </c>
      <c r="AD38" s="39" t="n"/>
      <c r="AG38" s="38" t="n"/>
      <c r="AH38" s="38" t="n"/>
      <c r="AI38" s="38" t="n"/>
    </row>
    <row r="39" ht="18" customHeight="1">
      <c r="A39" s="169" t="n">
        <v>27</v>
      </c>
      <c r="B39" s="442">
        <f>'INPUT DATA'!L37</f>
        <v/>
      </c>
      <c r="C39" s="673" t="n"/>
      <c r="D39" s="673" t="n"/>
      <c r="E39" s="674" t="n"/>
      <c r="F39" s="52" t="n"/>
      <c r="G39" s="49" t="n"/>
      <c r="H39" s="49" t="n"/>
      <c r="I39" s="49" t="n"/>
      <c r="J39" s="49" t="n"/>
      <c r="K39" s="48">
        <f>IF(COUNT($F39:$J39)=0,"",SUM($F39:$J39))</f>
        <v/>
      </c>
      <c r="L39" s="47">
        <f>IFERROR(IF(K39="","",ROUND(K39/$K$11*100,2)),"")</f>
        <v/>
      </c>
      <c r="M39" s="54">
        <f>IFERROR(IF(L39="","",ROUND(L39*$M$11,2)),"")</f>
        <v/>
      </c>
      <c r="N39" s="52" t="n"/>
      <c r="O39" s="49" t="n"/>
      <c r="P39" s="49" t="n"/>
      <c r="Q39" s="48">
        <f>IF(COUNT($N39:$P39)=0,"",SUM($N39:$P39))</f>
        <v/>
      </c>
      <c r="R39" s="47">
        <f>IFERROR(IF(Q39="","",ROUND(Q39/$Q$11*100,2)),"")</f>
        <v/>
      </c>
      <c r="S39" s="54">
        <f>IFERROR(IF(R39="","",ROUND(R39*$S$11,2)),"")</f>
        <v/>
      </c>
      <c r="T39" s="265" t="n"/>
      <c r="U39" s="46" t="n"/>
      <c r="V39" s="268" t="n"/>
      <c r="W39" s="272">
        <f>IF(COUNT($T39:$V39)=0,"",SUM($T39:$V39))</f>
        <v/>
      </c>
      <c r="X39" s="352">
        <f>IFERROR(IF(W39="","",ROUND((($T39/$T$11)*30 + ($U39/$U$11)*30 + ($V39/$V$11)*40),2)),"")</f>
        <v/>
      </c>
      <c r="Y39" s="54">
        <f>IFERROR(IF(X39="","",ROUND(X39*$Y$11,2)),"")</f>
        <v/>
      </c>
      <c r="Z39" s="55">
        <f>IFERROR(M39+S39+Y39,"")</f>
        <v/>
      </c>
      <c r="AA39" s="274">
        <f>IFERROR(VLOOKUP(Z39,'Helper(IMPORTANT!)'!$CQ$1:$CR$41,2,TRUE),"")</f>
        <v/>
      </c>
      <c r="AB39" s="170">
        <f t="array" ref="AB39">IF(AA39="", "", _xlfn.IFS(AA39&gt;=90, "A", AA39&gt;=80, "B", AA39&gt;=75, "C", AA39&gt;=65, "D", AA39&gt;=0, "E"))</f>
        <v/>
      </c>
      <c r="AD39" s="39" t="n"/>
      <c r="AG39" s="38" t="n"/>
      <c r="AH39" s="38" t="n"/>
      <c r="AI39" s="38" t="n"/>
    </row>
    <row r="40" ht="18" customHeight="1">
      <c r="A40" s="169" t="n">
        <v>28</v>
      </c>
      <c r="B40" s="442">
        <f>'INPUT DATA'!L38</f>
        <v/>
      </c>
      <c r="C40" s="673" t="n"/>
      <c r="D40" s="673" t="n"/>
      <c r="E40" s="674" t="n"/>
      <c r="F40" s="52" t="n"/>
      <c r="G40" s="49" t="n"/>
      <c r="H40" s="49" t="n"/>
      <c r="I40" s="49" t="n"/>
      <c r="J40" s="49" t="n"/>
      <c r="K40" s="48">
        <f>IF(COUNT($F40:$J40)=0,"",SUM($F40:$J40))</f>
        <v/>
      </c>
      <c r="L40" s="47">
        <f>IFERROR(IF(K40="","",ROUND(K40/$K$11*100,2)),"")</f>
        <v/>
      </c>
      <c r="M40" s="54">
        <f>IFERROR(IF(L40="","",ROUND(L40*$M$11,2)),"")</f>
        <v/>
      </c>
      <c r="N40" s="52" t="n"/>
      <c r="O40" s="49" t="n"/>
      <c r="P40" s="49" t="n"/>
      <c r="Q40" s="48">
        <f>IF(COUNT($N40:$P40)=0,"",SUM($N40:$P40))</f>
        <v/>
      </c>
      <c r="R40" s="47">
        <f>IFERROR(IF(Q40="","",ROUND(Q40/$Q$11*100,2)),"")</f>
        <v/>
      </c>
      <c r="S40" s="54">
        <f>IFERROR(IF(R40="","",ROUND(R40*$S$11,2)),"")</f>
        <v/>
      </c>
      <c r="T40" s="265" t="n"/>
      <c r="U40" s="46" t="n"/>
      <c r="V40" s="268" t="n"/>
      <c r="W40" s="272">
        <f>IF(COUNT($T40:$V40)=0,"",SUM($T40:$V40))</f>
        <v/>
      </c>
      <c r="X40" s="352">
        <f>IFERROR(IF(W40="","",ROUND((($T40/$T$11)*30 + ($U40/$U$11)*30 + ($V40/$V$11)*40),2)),"")</f>
        <v/>
      </c>
      <c r="Y40" s="54">
        <f>IFERROR(IF(X40="","",ROUND(X40*$Y$11,2)),"")</f>
        <v/>
      </c>
      <c r="Z40" s="55">
        <f>IFERROR(M40+S40+Y40,"")</f>
        <v/>
      </c>
      <c r="AA40" s="274">
        <f>IFERROR(VLOOKUP(Z40,'Helper(IMPORTANT!)'!$CQ$1:$CR$41,2,TRUE),"")</f>
        <v/>
      </c>
      <c r="AB40" s="170">
        <f t="array" ref="AB40">IF(AA40="", "", _xlfn.IFS(AA40&gt;=90, "A", AA40&gt;=80, "B", AA40&gt;=75, "C", AA40&gt;=65, "D", AA40&gt;=0, "E"))</f>
        <v/>
      </c>
      <c r="AD40" s="39" t="n"/>
      <c r="AG40" s="38" t="n"/>
      <c r="AH40" s="38" t="n"/>
      <c r="AI40" s="38" t="n"/>
    </row>
    <row r="41" ht="18" customHeight="1">
      <c r="A41" s="169" t="n">
        <v>29</v>
      </c>
      <c r="B41" s="442">
        <f>'INPUT DATA'!L39</f>
        <v/>
      </c>
      <c r="C41" s="673" t="n"/>
      <c r="D41" s="673" t="n"/>
      <c r="E41" s="674" t="n"/>
      <c r="F41" s="52" t="n"/>
      <c r="G41" s="49" t="n"/>
      <c r="H41" s="49" t="n"/>
      <c r="I41" s="49" t="n"/>
      <c r="J41" s="49" t="n"/>
      <c r="K41" s="48">
        <f>IF(COUNT($F41:$J41)=0,"",SUM($F41:$J41))</f>
        <v/>
      </c>
      <c r="L41" s="47">
        <f>IFERROR(IF(K41="","",ROUND(K41/$K$11*100,2)),"")</f>
        <v/>
      </c>
      <c r="M41" s="54">
        <f>IFERROR(IF(L41="","",ROUND(L41*$M$11,2)),"")</f>
        <v/>
      </c>
      <c r="N41" s="52" t="n"/>
      <c r="O41" s="49" t="n"/>
      <c r="P41" s="49" t="n"/>
      <c r="Q41" s="48">
        <f>IF(COUNT($N41:$P41)=0,"",SUM($N41:$P41))</f>
        <v/>
      </c>
      <c r="R41" s="47">
        <f>IFERROR(IF(Q41="","",ROUND(Q41/$Q$11*100,2)),"")</f>
        <v/>
      </c>
      <c r="S41" s="54">
        <f>IFERROR(IF(R41="","",ROUND(R41*$S$11,2)),"")</f>
        <v/>
      </c>
      <c r="T41" s="265" t="n"/>
      <c r="U41" s="46" t="n"/>
      <c r="V41" s="268" t="n"/>
      <c r="W41" s="272">
        <f>IF(COUNT($T41:$V41)=0,"",SUM($T41:$V41))</f>
        <v/>
      </c>
      <c r="X41" s="352">
        <f>IFERROR(IF(W41="","",ROUND((($T41/$T$11)*30 + ($U41/$U$11)*30 + ($V41/$V$11)*40),2)),"")</f>
        <v/>
      </c>
      <c r="Y41" s="54">
        <f>IFERROR(IF(X41="","",ROUND(X41*$Y$11,2)),"")</f>
        <v/>
      </c>
      <c r="Z41" s="55">
        <f>IFERROR(M41+S41+Y41,"")</f>
        <v/>
      </c>
      <c r="AA41" s="274">
        <f>IFERROR(VLOOKUP(Z41,'Helper(IMPORTANT!)'!$CQ$1:$CR$41,2,TRUE),"")</f>
        <v/>
      </c>
      <c r="AB41" s="170">
        <f t="array" ref="AB41">IF(AA41="", "", _xlfn.IFS(AA41&gt;=90, "A", AA41&gt;=80, "B", AA41&gt;=75, "C", AA41&gt;=65, "D", AA41&gt;=0, "E"))</f>
        <v/>
      </c>
      <c r="AD41" s="39" t="n"/>
      <c r="AG41" s="38" t="n"/>
      <c r="AH41" s="38" t="n"/>
      <c r="AI41" s="38" t="n"/>
    </row>
    <row r="42" ht="18" customHeight="1">
      <c r="A42" s="169" t="n">
        <v>30</v>
      </c>
      <c r="B42" s="442">
        <f>'INPUT DATA'!L40</f>
        <v/>
      </c>
      <c r="C42" s="673" t="n"/>
      <c r="D42" s="673" t="n"/>
      <c r="E42" s="674" t="n"/>
      <c r="F42" s="52" t="n"/>
      <c r="G42" s="49" t="n"/>
      <c r="H42" s="49" t="n"/>
      <c r="I42" s="49" t="n"/>
      <c r="J42" s="49" t="n"/>
      <c r="K42" s="48">
        <f>IF(COUNT($F42:$J42)=0,"",SUM($F42:$J42))</f>
        <v/>
      </c>
      <c r="L42" s="47">
        <f>IFERROR(IF(K42="","",ROUND(K42/$K$11*100,2)),"")</f>
        <v/>
      </c>
      <c r="M42" s="54">
        <f>IFERROR(IF(L42="","",ROUND(L42*$M$11,2)),"")</f>
        <v/>
      </c>
      <c r="N42" s="52" t="n"/>
      <c r="O42" s="49" t="n"/>
      <c r="P42" s="49" t="n"/>
      <c r="Q42" s="48">
        <f>IF(COUNT($N42:$P42)=0,"",SUM($N42:$P42))</f>
        <v/>
      </c>
      <c r="R42" s="47">
        <f>IFERROR(IF(Q42="","",ROUND(Q42/$Q$11*100,2)),"")</f>
        <v/>
      </c>
      <c r="S42" s="54">
        <f>IFERROR(IF(R42="","",ROUND(R42*$S$11,2)),"")</f>
        <v/>
      </c>
      <c r="T42" s="265" t="n"/>
      <c r="U42" s="46" t="n"/>
      <c r="V42" s="268" t="n"/>
      <c r="W42" s="272">
        <f>IF(COUNT($T42:$V42)=0,"",SUM($T42:$V42))</f>
        <v/>
      </c>
      <c r="X42" s="352">
        <f>IFERROR(IF(W42="","",ROUND((($T42/$T$11)*30 + ($U42/$U$11)*30 + ($V42/$V$11)*40),2)),"")</f>
        <v/>
      </c>
      <c r="Y42" s="54">
        <f>IFERROR(IF(X42="","",ROUND(X42*$Y$11,2)),"")</f>
        <v/>
      </c>
      <c r="Z42" s="55">
        <f>IFERROR(M42+S42+Y42,"")</f>
        <v/>
      </c>
      <c r="AA42" s="274">
        <f>IFERROR(VLOOKUP(Z42,'Helper(IMPORTANT!)'!$CQ$1:$CR$41,2,TRUE),"")</f>
        <v/>
      </c>
      <c r="AB42" s="170">
        <f t="array" ref="AB42">IF(AA42="", "", _xlfn.IFS(AA42&gt;=90, "A", AA42&gt;=80, "B", AA42&gt;=75, "C", AA42&gt;=65, "D", AA42&gt;=0, "E"))</f>
        <v/>
      </c>
      <c r="AD42" s="39" t="n"/>
      <c r="AG42" s="38" t="n"/>
      <c r="AH42" s="38" t="n"/>
      <c r="AI42" s="38" t="n"/>
    </row>
    <row r="43" ht="18" customHeight="1">
      <c r="A43" s="169" t="n">
        <v>31</v>
      </c>
      <c r="B43" s="442">
        <f>'INPUT DATA'!L41</f>
        <v/>
      </c>
      <c r="C43" s="673" t="n"/>
      <c r="D43" s="673" t="n"/>
      <c r="E43" s="674" t="n"/>
      <c r="F43" s="52" t="n"/>
      <c r="G43" s="49" t="n"/>
      <c r="H43" s="49" t="n"/>
      <c r="I43" s="49" t="n"/>
      <c r="J43" s="49" t="n"/>
      <c r="K43" s="48">
        <f>IF(COUNT($F43:$J43)=0,"",SUM($F43:$J43))</f>
        <v/>
      </c>
      <c r="L43" s="47">
        <f>IFERROR(IF(K43="","",ROUND(K43/$K$11*100,2)),"")</f>
        <v/>
      </c>
      <c r="M43" s="54">
        <f>IFERROR(IF(L43="","",ROUND(L43*$M$11,2)),"")</f>
        <v/>
      </c>
      <c r="N43" s="52" t="n"/>
      <c r="O43" s="49" t="n"/>
      <c r="P43" s="49" t="n"/>
      <c r="Q43" s="48">
        <f>IF(COUNT($N43:$P43)=0,"",SUM($N43:$P43))</f>
        <v/>
      </c>
      <c r="R43" s="47">
        <f>IFERROR(IF(Q43="","",ROUND(Q43/$Q$11*100,2)),"")</f>
        <v/>
      </c>
      <c r="S43" s="54">
        <f>IFERROR(IF(R43="","",ROUND(R43*$S$11,2)),"")</f>
        <v/>
      </c>
      <c r="T43" s="265" t="n"/>
      <c r="U43" s="46" t="n"/>
      <c r="V43" s="268" t="n"/>
      <c r="W43" s="272">
        <f>IF(COUNT($T43:$V43)=0,"",SUM($T43:$V43))</f>
        <v/>
      </c>
      <c r="X43" s="352">
        <f>IFERROR(IF(W43="","",ROUND((($T43/$T$11)*30 + ($U43/$U$11)*30 + ($V43/$V$11)*40),2)),"")</f>
        <v/>
      </c>
      <c r="Y43" s="54">
        <f>IFERROR(IF(X43="","",ROUND(X43*$Y$11,2)),"")</f>
        <v/>
      </c>
      <c r="Z43" s="55">
        <f>IFERROR(M43+S43+Y43,"")</f>
        <v/>
      </c>
      <c r="AA43" s="274">
        <f>IFERROR(VLOOKUP(Z43,'Helper(IMPORTANT!)'!$CQ$1:$CR$41,2,TRUE),"")</f>
        <v/>
      </c>
      <c r="AB43" s="170">
        <f t="array" ref="AB43">IF(AA43="", "", _xlfn.IFS(AA43&gt;=90, "A", AA43&gt;=80, "B", AA43&gt;=75, "C", AA43&gt;=65, "D", AA43&gt;=0, "E"))</f>
        <v/>
      </c>
      <c r="AD43" s="39" t="n"/>
      <c r="AG43" s="38" t="n"/>
      <c r="AH43" s="38" t="n"/>
      <c r="AI43" s="38" t="n"/>
    </row>
    <row r="44" ht="18" customHeight="1">
      <c r="A44" s="169" t="n">
        <v>32</v>
      </c>
      <c r="B44" s="442">
        <f>'INPUT DATA'!L42</f>
        <v/>
      </c>
      <c r="C44" s="673" t="n"/>
      <c r="D44" s="673" t="n"/>
      <c r="E44" s="674" t="n"/>
      <c r="F44" s="52" t="n"/>
      <c r="G44" s="49" t="n"/>
      <c r="H44" s="49" t="n"/>
      <c r="I44" s="49" t="n"/>
      <c r="J44" s="49" t="n"/>
      <c r="K44" s="48">
        <f>IF(COUNT($F44:$J44)=0,"",SUM($F44:$J44))</f>
        <v/>
      </c>
      <c r="L44" s="47">
        <f>IFERROR(IF(K44="","",ROUND(K44/$K$11*100,2)),"")</f>
        <v/>
      </c>
      <c r="M44" s="54">
        <f>IFERROR(IF(L44="","",ROUND(L44*$M$11,2)),"")</f>
        <v/>
      </c>
      <c r="N44" s="52" t="n"/>
      <c r="O44" s="49" t="n"/>
      <c r="P44" s="49" t="n"/>
      <c r="Q44" s="48">
        <f>IF(COUNT($N44:$P44)=0,"",SUM($N44:$P44))</f>
        <v/>
      </c>
      <c r="R44" s="47">
        <f>IFERROR(IF(Q44="","",ROUND(Q44/$Q$11*100,2)),"")</f>
        <v/>
      </c>
      <c r="S44" s="54">
        <f>IFERROR(IF(R44="","",ROUND(R44*$S$11,2)),"")</f>
        <v/>
      </c>
      <c r="T44" s="265" t="n"/>
      <c r="U44" s="46" t="n"/>
      <c r="V44" s="268" t="n"/>
      <c r="W44" s="272">
        <f>IF(COUNT($T44:$V44)=0,"",SUM($T44:$V44))</f>
        <v/>
      </c>
      <c r="X44" s="352">
        <f>IFERROR(IF(W44="","",ROUND((($T44/$T$11)*30 + ($U44/$U$11)*30 + ($V44/$V$11)*40),2)),"")</f>
        <v/>
      </c>
      <c r="Y44" s="54">
        <f>IFERROR(IF(X44="","",ROUND(X44*$Y$11,2)),"")</f>
        <v/>
      </c>
      <c r="Z44" s="55">
        <f>IFERROR(M44+S44+Y44,"")</f>
        <v/>
      </c>
      <c r="AA44" s="274">
        <f>IFERROR(VLOOKUP(Z44,'Helper(IMPORTANT!)'!$CQ$1:$CR$41,2,TRUE),"")</f>
        <v/>
      </c>
      <c r="AB44" s="170">
        <f t="array" ref="AB44">IF(AA44="", "", _xlfn.IFS(AA44&gt;=90, "A", AA44&gt;=80, "B", AA44&gt;=75, "C", AA44&gt;=65, "D", AA44&gt;=0, "E"))</f>
        <v/>
      </c>
      <c r="AD44" s="39" t="n"/>
      <c r="AG44" s="38" t="n"/>
      <c r="AH44" s="38" t="n"/>
      <c r="AI44" s="38" t="n"/>
    </row>
    <row r="45" ht="18" customHeight="1">
      <c r="A45" s="169" t="n">
        <v>33</v>
      </c>
      <c r="B45" s="442">
        <f>'INPUT DATA'!L43</f>
        <v/>
      </c>
      <c r="C45" s="673" t="n"/>
      <c r="D45" s="673" t="n"/>
      <c r="E45" s="674" t="n"/>
      <c r="F45" s="52" t="n"/>
      <c r="G45" s="49" t="n"/>
      <c r="H45" s="49" t="n"/>
      <c r="I45" s="49" t="n"/>
      <c r="J45" s="49" t="n"/>
      <c r="K45" s="48">
        <f>IF(COUNT($F45:$J45)=0,"",SUM($F45:$J45))</f>
        <v/>
      </c>
      <c r="L45" s="47">
        <f>IFERROR(IF(K45="","",ROUND(K45/$K$11*100,2)),"")</f>
        <v/>
      </c>
      <c r="M45" s="54">
        <f>IFERROR(IF(L45="","",ROUND(L45*$M$11,2)),"")</f>
        <v/>
      </c>
      <c r="N45" s="52" t="n"/>
      <c r="O45" s="49" t="n"/>
      <c r="P45" s="49" t="n"/>
      <c r="Q45" s="48">
        <f>IF(COUNT($N45:$P45)=0,"",SUM($N45:$P45))</f>
        <v/>
      </c>
      <c r="R45" s="47">
        <f>IFERROR(IF(Q45="","",ROUND(Q45/$Q$11*100,2)),"")</f>
        <v/>
      </c>
      <c r="S45" s="54">
        <f>IFERROR(IF(R45="","",ROUND(R45*$S$11,2)),"")</f>
        <v/>
      </c>
      <c r="T45" s="265" t="n"/>
      <c r="U45" s="46" t="n"/>
      <c r="V45" s="268" t="n"/>
      <c r="W45" s="272">
        <f>IF(COUNT($T45:$V45)=0,"",SUM($T45:$V45))</f>
        <v/>
      </c>
      <c r="X45" s="352">
        <f>IFERROR(IF(W45="","",ROUND((($T45/$T$11)*30 + ($U45/$U$11)*30 + ($V45/$V$11)*40),2)),"")</f>
        <v/>
      </c>
      <c r="Y45" s="54">
        <f>IFERROR(IF(X45="","",ROUND(X45*$Y$11,2)),"")</f>
        <v/>
      </c>
      <c r="Z45" s="55">
        <f>IFERROR(M45+S45+Y45,"")</f>
        <v/>
      </c>
      <c r="AA45" s="274">
        <f>IFERROR(VLOOKUP(Z45,'Helper(IMPORTANT!)'!$CQ$1:$CR$41,2,TRUE),"")</f>
        <v/>
      </c>
      <c r="AB45" s="170">
        <f t="array" ref="AB45">IF(AA45="", "", _xlfn.IFS(AA45&gt;=90, "A", AA45&gt;=80, "B", AA45&gt;=75, "C", AA45&gt;=65, "D", AA45&gt;=0, "E"))</f>
        <v/>
      </c>
      <c r="AD45" s="39" t="n"/>
      <c r="AG45" s="38" t="n"/>
      <c r="AH45" s="38" t="n"/>
      <c r="AI45" s="38" t="n"/>
    </row>
    <row r="46" ht="18" customHeight="1">
      <c r="A46" s="169" t="n">
        <v>34</v>
      </c>
      <c r="B46" s="442">
        <f>'INPUT DATA'!L44</f>
        <v/>
      </c>
      <c r="C46" s="673" t="n"/>
      <c r="D46" s="673" t="n"/>
      <c r="E46" s="674" t="n"/>
      <c r="F46" s="52" t="n"/>
      <c r="G46" s="49" t="n"/>
      <c r="H46" s="49" t="n"/>
      <c r="I46" s="49" t="n"/>
      <c r="J46" s="49" t="n"/>
      <c r="K46" s="48">
        <f>IF(COUNT($F46:$J46)=0,"",SUM($F46:$J46))</f>
        <v/>
      </c>
      <c r="L46" s="47">
        <f>IFERROR(IF(K46="","",ROUND(K46/$K$11*100,2)),"")</f>
        <v/>
      </c>
      <c r="M46" s="54">
        <f>IFERROR(IF(L46="","",ROUND(L46*$M$11,2)),"")</f>
        <v/>
      </c>
      <c r="N46" s="52" t="n"/>
      <c r="O46" s="49" t="n"/>
      <c r="P46" s="49" t="n"/>
      <c r="Q46" s="48">
        <f>IF(COUNT($N46:$P46)=0,"",SUM($N46:$P46))</f>
        <v/>
      </c>
      <c r="R46" s="47">
        <f>IFERROR(IF(Q46="","",ROUND(Q46/$Q$11*100,2)),"")</f>
        <v/>
      </c>
      <c r="S46" s="54">
        <f>IFERROR(IF(R46="","",ROUND(R46*$S$11,2)),"")</f>
        <v/>
      </c>
      <c r="T46" s="265" t="n"/>
      <c r="U46" s="46" t="n"/>
      <c r="V46" s="268" t="n"/>
      <c r="W46" s="272">
        <f>IF(COUNT($T46:$V46)=0,"",SUM($T46:$V46))</f>
        <v/>
      </c>
      <c r="X46" s="352">
        <f>IFERROR(IF(W46="","",ROUND((($T46/$T$11)*30 + ($U46/$U$11)*30 + ($V46/$V$11)*40),2)),"")</f>
        <v/>
      </c>
      <c r="Y46" s="54">
        <f>IFERROR(IF(X46="","",ROUND(X46*$Y$11,2)),"")</f>
        <v/>
      </c>
      <c r="Z46" s="55">
        <f>IFERROR(M46+S46+Y46,"")</f>
        <v/>
      </c>
      <c r="AA46" s="274">
        <f>IFERROR(VLOOKUP(Z46,'Helper(IMPORTANT!)'!$CQ$1:$CR$41,2,TRUE),"")</f>
        <v/>
      </c>
      <c r="AB46" s="170">
        <f t="array" ref="AB46">IF(AA46="", "", _xlfn.IFS(AA46&gt;=90, "A", AA46&gt;=80, "B", AA46&gt;=75, "C", AA46&gt;=65, "D", AA46&gt;=0, "E"))</f>
        <v/>
      </c>
      <c r="AD46" s="39" t="n"/>
      <c r="AG46" s="38" t="n"/>
      <c r="AH46" s="38" t="n"/>
      <c r="AI46" s="38" t="n"/>
    </row>
    <row r="47" ht="18" customHeight="1">
      <c r="A47" s="169" t="n">
        <v>35</v>
      </c>
      <c r="B47" s="442">
        <f>'INPUT DATA'!L45</f>
        <v/>
      </c>
      <c r="C47" s="673" t="n"/>
      <c r="D47" s="673" t="n"/>
      <c r="E47" s="674" t="n"/>
      <c r="F47" s="52" t="n"/>
      <c r="G47" s="49" t="n"/>
      <c r="H47" s="49" t="n"/>
      <c r="I47" s="49" t="n"/>
      <c r="J47" s="49" t="n"/>
      <c r="K47" s="48">
        <f>IF(COUNT($F47:$J47)=0,"",SUM($F47:$J47))</f>
        <v/>
      </c>
      <c r="L47" s="47">
        <f>IFERROR(IF(K47="","",ROUND(K47/$K$11*100,2)),"")</f>
        <v/>
      </c>
      <c r="M47" s="54">
        <f>IFERROR(IF(L47="","",ROUND(L47*$M$11,2)),"")</f>
        <v/>
      </c>
      <c r="N47" s="52" t="n"/>
      <c r="O47" s="49" t="n"/>
      <c r="P47" s="49" t="n"/>
      <c r="Q47" s="48">
        <f>IF(COUNT($N47:$P47)=0,"",SUM($N47:$P47))</f>
        <v/>
      </c>
      <c r="R47" s="47">
        <f>IFERROR(IF(Q47="","",ROUND(Q47/$Q$11*100,2)),"")</f>
        <v/>
      </c>
      <c r="S47" s="54">
        <f>IFERROR(IF(R47="","",ROUND(R47*$S$11,2)),"")</f>
        <v/>
      </c>
      <c r="T47" s="265" t="n"/>
      <c r="U47" s="46" t="n"/>
      <c r="V47" s="268" t="n"/>
      <c r="W47" s="272">
        <f>IF(COUNT($T47:$V47)=0,"",SUM($T47:$V47))</f>
        <v/>
      </c>
      <c r="X47" s="352">
        <f>IFERROR(IF(W47="","",ROUND((($T47/$T$11)*30 + ($U47/$U$11)*30 + ($V47/$V$11)*40),2)),"")</f>
        <v/>
      </c>
      <c r="Y47" s="54">
        <f>IFERROR(IF(X47="","",ROUND(X47*$Y$11,2)),"")</f>
        <v/>
      </c>
      <c r="Z47" s="55">
        <f>IFERROR(M47+S47+Y47,"")</f>
        <v/>
      </c>
      <c r="AA47" s="274">
        <f>IFERROR(VLOOKUP(Z47,'Helper(IMPORTANT!)'!$CQ$1:$CR$41,2,TRUE),"")</f>
        <v/>
      </c>
      <c r="AB47" s="170">
        <f t="array" ref="AB47">IF(AA47="", "", _xlfn.IFS(AA47&gt;=90, "A", AA47&gt;=80, "B", AA47&gt;=75, "C", AA47&gt;=65, "D", AA47&gt;=0, "E"))</f>
        <v/>
      </c>
      <c r="AD47" s="39" t="n"/>
      <c r="AG47" s="38" t="n"/>
      <c r="AH47" s="38" t="n"/>
      <c r="AI47" s="38" t="n"/>
    </row>
    <row r="48" ht="18" customHeight="1">
      <c r="A48" s="169" t="n">
        <v>36</v>
      </c>
      <c r="B48" s="442">
        <f>'INPUT DATA'!L46</f>
        <v/>
      </c>
      <c r="C48" s="673" t="n"/>
      <c r="D48" s="673" t="n"/>
      <c r="E48" s="674" t="n"/>
      <c r="F48" s="52" t="n"/>
      <c r="G48" s="49" t="n"/>
      <c r="H48" s="49" t="n"/>
      <c r="I48" s="49" t="n"/>
      <c r="J48" s="49" t="n"/>
      <c r="K48" s="48">
        <f>IF(COUNT($F48:$J48)=0,"",SUM($F48:$J48))</f>
        <v/>
      </c>
      <c r="L48" s="47">
        <f>IFERROR(IF(K48="","",ROUND(K48/$K$11*100,2)),"")</f>
        <v/>
      </c>
      <c r="M48" s="54">
        <f>IFERROR(IF(L48="","",ROUND(L48*$M$11,2)),"")</f>
        <v/>
      </c>
      <c r="N48" s="52" t="n"/>
      <c r="O48" s="49" t="n"/>
      <c r="P48" s="49" t="n"/>
      <c r="Q48" s="48">
        <f>IF(COUNT($N48:$P48)=0,"",SUM($N48:$P48))</f>
        <v/>
      </c>
      <c r="R48" s="47">
        <f>IFERROR(IF(Q48="","",ROUND(Q48/$Q$11*100,2)),"")</f>
        <v/>
      </c>
      <c r="S48" s="54">
        <f>IFERROR(IF(R48="","",ROUND(R48*$S$11,2)),"")</f>
        <v/>
      </c>
      <c r="T48" s="265" t="n"/>
      <c r="U48" s="46" t="n"/>
      <c r="V48" s="268" t="n"/>
      <c r="W48" s="272">
        <f>IF(COUNT($T48:$V48)=0,"",SUM($T48:$V48))</f>
        <v/>
      </c>
      <c r="X48" s="352">
        <f>IFERROR(IF(W48="","",ROUND((($T48/$T$11)*30 + ($U48/$U$11)*30 + ($V48/$V$11)*40),2)),"")</f>
        <v/>
      </c>
      <c r="Y48" s="54">
        <f>IFERROR(IF(X48="","",ROUND(X48*$Y$11,2)),"")</f>
        <v/>
      </c>
      <c r="Z48" s="55">
        <f>IFERROR(M48+S48+Y48,"")</f>
        <v/>
      </c>
      <c r="AA48" s="274">
        <f>IFERROR(VLOOKUP(Z48,'Helper(IMPORTANT!)'!$CQ$1:$CR$41,2,TRUE),"")</f>
        <v/>
      </c>
      <c r="AB48" s="170">
        <f t="array" ref="AB48">IF(AA48="", "", _xlfn.IFS(AA48&gt;=90, "A", AA48&gt;=80, "B", AA48&gt;=75, "C", AA48&gt;=65, "D", AA48&gt;=0, "E"))</f>
        <v/>
      </c>
      <c r="AD48" s="39" t="n"/>
      <c r="AG48" s="38" t="n"/>
      <c r="AH48" s="38" t="n"/>
      <c r="AI48" s="38" t="n"/>
    </row>
    <row r="49" ht="18" customHeight="1">
      <c r="A49" s="169" t="n">
        <v>37</v>
      </c>
      <c r="B49" s="442">
        <f>'INPUT DATA'!L47</f>
        <v/>
      </c>
      <c r="C49" s="673" t="n"/>
      <c r="D49" s="673" t="n"/>
      <c r="E49" s="674" t="n"/>
      <c r="F49" s="52" t="n"/>
      <c r="G49" s="49" t="n"/>
      <c r="H49" s="49" t="n"/>
      <c r="I49" s="49" t="n"/>
      <c r="J49" s="49" t="n"/>
      <c r="K49" s="48">
        <f>IF(COUNT($F49:$J49)=0,"",SUM($F49:$J49))</f>
        <v/>
      </c>
      <c r="L49" s="47">
        <f>IFERROR(IF(K49="","",ROUND(K49/$K$11*100,2)),"")</f>
        <v/>
      </c>
      <c r="M49" s="54">
        <f>IFERROR(IF(L49="","",ROUND(L49*$M$11,2)),"")</f>
        <v/>
      </c>
      <c r="N49" s="52" t="n"/>
      <c r="O49" s="49" t="n"/>
      <c r="P49" s="49" t="n"/>
      <c r="Q49" s="48">
        <f>IF(COUNT($N49:$P49)=0,"",SUM($N49:$P49))</f>
        <v/>
      </c>
      <c r="R49" s="47">
        <f>IFERROR(IF(Q49="","",ROUND(Q49/$Q$11*100,2)),"")</f>
        <v/>
      </c>
      <c r="S49" s="54">
        <f>IFERROR(IF(R49="","",ROUND(R49*$S$11,2)),"")</f>
        <v/>
      </c>
      <c r="T49" s="265" t="n"/>
      <c r="U49" s="46" t="n"/>
      <c r="V49" s="268" t="n"/>
      <c r="W49" s="272">
        <f>IF(COUNT($T49:$V49)=0,"",SUM($T49:$V49))</f>
        <v/>
      </c>
      <c r="X49" s="352">
        <f>IFERROR(IF(W49="","",ROUND((($T49/$T$11)*30 + ($U49/$U$11)*30 + ($V49/$V$11)*40),2)),"")</f>
        <v/>
      </c>
      <c r="Y49" s="54">
        <f>IFERROR(IF(X49="","",ROUND(X49*$Y$11,2)),"")</f>
        <v/>
      </c>
      <c r="Z49" s="55">
        <f>IFERROR(M49+S49+Y49,"")</f>
        <v/>
      </c>
      <c r="AA49" s="274">
        <f>IFERROR(VLOOKUP(Z49,'Helper(IMPORTANT!)'!$CQ$1:$CR$41,2,TRUE),"")</f>
        <v/>
      </c>
      <c r="AB49" s="170">
        <f t="array" ref="AB49">IF(AA49="", "", _xlfn.IFS(AA49&gt;=90, "A", AA49&gt;=80, "B", AA49&gt;=75, "C", AA49&gt;=65, "D", AA49&gt;=0, "E"))</f>
        <v/>
      </c>
      <c r="AD49" s="39" t="n"/>
      <c r="AG49" s="38" t="n"/>
      <c r="AH49" s="38" t="n"/>
      <c r="AI49" s="38" t="n"/>
    </row>
    <row r="50" ht="18" customHeight="1">
      <c r="A50" s="169" t="n">
        <v>38</v>
      </c>
      <c r="B50" s="442">
        <f>'INPUT DATA'!L48</f>
        <v/>
      </c>
      <c r="C50" s="673" t="n"/>
      <c r="D50" s="673" t="n"/>
      <c r="E50" s="674" t="n"/>
      <c r="F50" s="52" t="n"/>
      <c r="G50" s="49" t="n"/>
      <c r="H50" s="49" t="n"/>
      <c r="I50" s="49" t="n"/>
      <c r="J50" s="49" t="n"/>
      <c r="K50" s="48">
        <f>IF(COUNT($F50:$J50)=0,"",SUM($F50:$J50))</f>
        <v/>
      </c>
      <c r="L50" s="47">
        <f>IFERROR(IF(K50="","",ROUND(K50/$K$11*100,2)),"")</f>
        <v/>
      </c>
      <c r="M50" s="54">
        <f>IFERROR(IF(L50="","",ROUND(L50*$M$11,2)),"")</f>
        <v/>
      </c>
      <c r="N50" s="52" t="n"/>
      <c r="O50" s="49" t="n"/>
      <c r="P50" s="49" t="n"/>
      <c r="Q50" s="48">
        <f>IF(COUNT($N50:$P50)=0,"",SUM($N50:$P50))</f>
        <v/>
      </c>
      <c r="R50" s="47">
        <f>IFERROR(IF(Q50="","",ROUND(Q50/$Q$11*100,2)),"")</f>
        <v/>
      </c>
      <c r="S50" s="54">
        <f>IFERROR(IF(R50="","",ROUND(R50*$S$11,2)),"")</f>
        <v/>
      </c>
      <c r="T50" s="265" t="n"/>
      <c r="U50" s="46" t="n"/>
      <c r="V50" s="268" t="n"/>
      <c r="W50" s="272">
        <f>IF(COUNT($T50:$V50)=0,"",SUM($T50:$V50))</f>
        <v/>
      </c>
      <c r="X50" s="352">
        <f>IFERROR(IF(W50="","",ROUND((($T50/$T$11)*30 + ($U50/$U$11)*30 + ($V50/$V$11)*40),2)),"")</f>
        <v/>
      </c>
      <c r="Y50" s="54">
        <f>IFERROR(IF(X50="","",ROUND(X50*$Y$11,2)),"")</f>
        <v/>
      </c>
      <c r="Z50" s="55">
        <f>IFERROR(M50+S50+Y50,"")</f>
        <v/>
      </c>
      <c r="AA50" s="274">
        <f>IFERROR(VLOOKUP(Z50,'Helper(IMPORTANT!)'!$CQ$1:$CR$41,2,TRUE),"")</f>
        <v/>
      </c>
      <c r="AB50" s="170">
        <f t="array" ref="AB50">IF(AA50="", "", _xlfn.IFS(AA50&gt;=90, "A", AA50&gt;=80, "B", AA50&gt;=75, "C", AA50&gt;=65, "D", AA50&gt;=0, "E"))</f>
        <v/>
      </c>
      <c r="AD50" s="39" t="n"/>
      <c r="AG50" s="38" t="n"/>
      <c r="AH50" s="38" t="n"/>
      <c r="AI50" s="38" t="n"/>
    </row>
    <row r="51" ht="18" customHeight="1">
      <c r="A51" s="169" t="n">
        <v>39</v>
      </c>
      <c r="B51" s="442">
        <f>'INPUT DATA'!L49</f>
        <v/>
      </c>
      <c r="C51" s="673" t="n"/>
      <c r="D51" s="673" t="n"/>
      <c r="E51" s="674" t="n"/>
      <c r="F51" s="52" t="n"/>
      <c r="G51" s="49" t="n"/>
      <c r="H51" s="49" t="n"/>
      <c r="I51" s="49" t="n"/>
      <c r="J51" s="49" t="n"/>
      <c r="K51" s="48">
        <f>IF(COUNT($F51:$J51)=0,"",SUM($F51:$J51))</f>
        <v/>
      </c>
      <c r="L51" s="47">
        <f>IFERROR(IF(K51="","",ROUND(K51/$K$11*100,2)),"")</f>
        <v/>
      </c>
      <c r="M51" s="54">
        <f>IFERROR(IF(L51="","",ROUND(L51*$M$11,2)),"")</f>
        <v/>
      </c>
      <c r="N51" s="52" t="n"/>
      <c r="O51" s="49" t="n"/>
      <c r="P51" s="49" t="n"/>
      <c r="Q51" s="48">
        <f>IF(COUNT($N51:$P51)=0,"",SUM($N51:$P51))</f>
        <v/>
      </c>
      <c r="R51" s="47">
        <f>IFERROR(IF(Q51="","",ROUND(Q51/$Q$11*100,2)),"")</f>
        <v/>
      </c>
      <c r="S51" s="54">
        <f>IFERROR(IF(R51="","",ROUND(R51*$S$11,2)),"")</f>
        <v/>
      </c>
      <c r="T51" s="265" t="n"/>
      <c r="U51" s="46" t="n"/>
      <c r="V51" s="268" t="n"/>
      <c r="W51" s="272">
        <f>IF(COUNT($T51:$V51)=0,"",SUM($T51:$V51))</f>
        <v/>
      </c>
      <c r="X51" s="352">
        <f>IFERROR(IF(W51="","",ROUND((($T51/$T$11)*30 + ($U51/$U$11)*30 + ($V51/$V$11)*40),2)),"")</f>
        <v/>
      </c>
      <c r="Y51" s="54">
        <f>IFERROR(IF(X51="","",ROUND(X51*$Y$11,2)),"")</f>
        <v/>
      </c>
      <c r="Z51" s="55">
        <f>IFERROR(M51+S51+Y51,"")</f>
        <v/>
      </c>
      <c r="AA51" s="274">
        <f>IFERROR(VLOOKUP(Z51,'Helper(IMPORTANT!)'!$CQ$1:$CR$41,2,TRUE),"")</f>
        <v/>
      </c>
      <c r="AB51" s="170">
        <f t="array" ref="AB51">IF(AA51="", "", _xlfn.IFS(AA51&gt;=90, "A", AA51&gt;=80, "B", AA51&gt;=75, "C", AA51&gt;=65, "D", AA51&gt;=0, "E"))</f>
        <v/>
      </c>
      <c r="AD51" s="39" t="n"/>
      <c r="AG51" s="38" t="n"/>
      <c r="AH51" s="38" t="n"/>
      <c r="AI51" s="38" t="n"/>
    </row>
    <row r="52" ht="18" customHeight="1">
      <c r="A52" s="169" t="n">
        <v>40</v>
      </c>
      <c r="B52" s="442">
        <f>'INPUT DATA'!L50</f>
        <v/>
      </c>
      <c r="C52" s="673" t="n"/>
      <c r="D52" s="673" t="n"/>
      <c r="E52" s="674" t="n"/>
      <c r="F52" s="52" t="n"/>
      <c r="G52" s="49" t="n"/>
      <c r="H52" s="49" t="n"/>
      <c r="I52" s="49" t="n"/>
      <c r="J52" s="49" t="n"/>
      <c r="K52" s="48">
        <f>IF(COUNT($F52:$J52)=0,"",SUM($F52:$J52))</f>
        <v/>
      </c>
      <c r="L52" s="47">
        <f>IFERROR(IF(K52="","",ROUND(K52/$K$11*100,2)),"")</f>
        <v/>
      </c>
      <c r="M52" s="54">
        <f>IFERROR(IF(L52="","",ROUND(L52*$M$11,2)),"")</f>
        <v/>
      </c>
      <c r="N52" s="52" t="n"/>
      <c r="O52" s="49" t="n"/>
      <c r="P52" s="49" t="n"/>
      <c r="Q52" s="48">
        <f>IF(COUNT($N52:$P52)=0,"",SUM($N52:$P52))</f>
        <v/>
      </c>
      <c r="R52" s="47">
        <f>IFERROR(IF(Q52="","",ROUND(Q52/$Q$11*100,2)),"")</f>
        <v/>
      </c>
      <c r="S52" s="54">
        <f>IFERROR(IF(R52="","",ROUND(R52*$S$11,2)),"")</f>
        <v/>
      </c>
      <c r="T52" s="265" t="n"/>
      <c r="U52" s="46" t="n"/>
      <c r="V52" s="268" t="n"/>
      <c r="W52" s="272">
        <f>IF(COUNT($T52:$V52)=0,"",SUM($T52:$V52))</f>
        <v/>
      </c>
      <c r="X52" s="352">
        <f>IFERROR(IF(W52="","",ROUND((($T52/$T$11)*30 + ($U52/$U$11)*30 + ($V52/$V$11)*40),2)),"")</f>
        <v/>
      </c>
      <c r="Y52" s="54">
        <f>IFERROR(IF(X52="","",ROUND(X52*$Y$11,2)),"")</f>
        <v/>
      </c>
      <c r="Z52" s="55">
        <f>IFERROR(M52+S52+Y52,"")</f>
        <v/>
      </c>
      <c r="AA52" s="274">
        <f>IFERROR(VLOOKUP(Z52,'Helper(IMPORTANT!)'!$CQ$1:$CR$41,2,TRUE),"")</f>
        <v/>
      </c>
      <c r="AB52" s="170">
        <f t="array" ref="AB52">IF(AA52="", "", _xlfn.IFS(AA52&gt;=90, "A", AA52&gt;=80, "B", AA52&gt;=75, "C", AA52&gt;=65, "D", AA52&gt;=0, "E"))</f>
        <v/>
      </c>
      <c r="AD52" s="39" t="n"/>
      <c r="AG52" s="38" t="n"/>
      <c r="AH52" s="38" t="n"/>
      <c r="AI52" s="38" t="n"/>
    </row>
    <row r="53" ht="18" customHeight="1">
      <c r="A53" s="169" t="n">
        <v>41</v>
      </c>
      <c r="B53" s="442">
        <f>'INPUT DATA'!L51</f>
        <v/>
      </c>
      <c r="C53" s="673" t="n"/>
      <c r="D53" s="673" t="n"/>
      <c r="E53" s="674" t="n"/>
      <c r="F53" s="52" t="n"/>
      <c r="G53" s="49" t="n"/>
      <c r="H53" s="49" t="n"/>
      <c r="I53" s="49" t="n"/>
      <c r="J53" s="49" t="n"/>
      <c r="K53" s="48">
        <f>IF(COUNT($F53:$J53)=0,"",SUM($F53:$J53))</f>
        <v/>
      </c>
      <c r="L53" s="47">
        <f>IFERROR(IF(K53="","",ROUND(K53/$K$11*100,2)),"")</f>
        <v/>
      </c>
      <c r="M53" s="54">
        <f>IFERROR(IF(L53="","",ROUND(L53*$M$11,2)),"")</f>
        <v/>
      </c>
      <c r="N53" s="52" t="n"/>
      <c r="O53" s="49" t="n"/>
      <c r="P53" s="49" t="n"/>
      <c r="Q53" s="48">
        <f>IF(COUNT($N53:$P53)=0,"",SUM($N53:$P53))</f>
        <v/>
      </c>
      <c r="R53" s="47">
        <f>IFERROR(IF(Q53="","",ROUND(Q53/$Q$11*100,2)),"")</f>
        <v/>
      </c>
      <c r="S53" s="54">
        <f>IFERROR(IF(R53="","",ROUND(R53*$S$11,2)),"")</f>
        <v/>
      </c>
      <c r="T53" s="265" t="n"/>
      <c r="U53" s="46" t="n"/>
      <c r="V53" s="268" t="n"/>
      <c r="W53" s="272">
        <f>IF(COUNT($T53:$V53)=0,"",SUM($T53:$V53))</f>
        <v/>
      </c>
      <c r="X53" s="352">
        <f>IFERROR(IF(W53="","",ROUND((($T53/$T$11)*30 + ($U53/$U$11)*30 + ($V53/$V$11)*40),2)),"")</f>
        <v/>
      </c>
      <c r="Y53" s="54">
        <f>IFERROR(IF(X53="","",ROUND(X53*$Y$11,2)),"")</f>
        <v/>
      </c>
      <c r="Z53" s="55">
        <f>IFERROR(M53+S53+Y53,"")</f>
        <v/>
      </c>
      <c r="AA53" s="274">
        <f>IFERROR(VLOOKUP(Z53,'Helper(IMPORTANT!)'!$CQ$1:$CR$41,2,TRUE),"")</f>
        <v/>
      </c>
      <c r="AB53" s="170">
        <f t="array" ref="AB53">IF(AA53="", "", _xlfn.IFS(AA53&gt;=90, "A", AA53&gt;=80, "B", AA53&gt;=75, "C", AA53&gt;=65, "D", AA53&gt;=0, "E"))</f>
        <v/>
      </c>
      <c r="AD53" s="39" t="n"/>
      <c r="AG53" s="38" t="n"/>
      <c r="AH53" s="38" t="n"/>
      <c r="AI53" s="38" t="n"/>
    </row>
    <row r="54" ht="18" customHeight="1">
      <c r="A54" s="169" t="n">
        <v>42</v>
      </c>
      <c r="B54" s="442">
        <f>'INPUT DATA'!L52</f>
        <v/>
      </c>
      <c r="C54" s="673" t="n"/>
      <c r="D54" s="673" t="n"/>
      <c r="E54" s="674" t="n"/>
      <c r="F54" s="52" t="n"/>
      <c r="G54" s="49" t="n"/>
      <c r="H54" s="49" t="n"/>
      <c r="I54" s="49" t="n"/>
      <c r="J54" s="49" t="n"/>
      <c r="K54" s="48">
        <f>IF(COUNT($F54:$J54)=0,"",SUM($F54:$J54))</f>
        <v/>
      </c>
      <c r="L54" s="47">
        <f>IFERROR(IF(K54="","",ROUND(K54/$K$11*100,2)),"")</f>
        <v/>
      </c>
      <c r="M54" s="54">
        <f>IFERROR(IF(L54="","",ROUND(L54*$M$11,2)),"")</f>
        <v/>
      </c>
      <c r="N54" s="52" t="n"/>
      <c r="O54" s="49" t="n"/>
      <c r="P54" s="49" t="n"/>
      <c r="Q54" s="48">
        <f>IF(COUNT($N54:$P54)=0,"",SUM($N54:$P54))</f>
        <v/>
      </c>
      <c r="R54" s="47">
        <f>IFERROR(IF(Q54="","",ROUND(Q54/$Q$11*100,2)),"")</f>
        <v/>
      </c>
      <c r="S54" s="54">
        <f>IFERROR(IF(R54="","",ROUND(R54*$S$11,2)),"")</f>
        <v/>
      </c>
      <c r="T54" s="265" t="n"/>
      <c r="U54" s="46" t="n"/>
      <c r="V54" s="268" t="n"/>
      <c r="W54" s="272">
        <f>IF(COUNT($T54:$V54)=0,"",SUM($T54:$V54))</f>
        <v/>
      </c>
      <c r="X54" s="352">
        <f>IFERROR(IF(W54="","",ROUND((($T54/$T$11)*30 + ($U54/$U$11)*30 + ($V54/$V$11)*40),2)),"")</f>
        <v/>
      </c>
      <c r="Y54" s="54">
        <f>IFERROR(IF(X54="","",ROUND(X54*$Y$11,2)),"")</f>
        <v/>
      </c>
      <c r="Z54" s="55">
        <f>IFERROR(M54+S54+Y54,"")</f>
        <v/>
      </c>
      <c r="AA54" s="274">
        <f>IFERROR(VLOOKUP(Z54,'Helper(IMPORTANT!)'!$CQ$1:$CR$41,2,TRUE),"")</f>
        <v/>
      </c>
      <c r="AB54" s="170">
        <f t="array" ref="AB54">IF(AA54="", "", _xlfn.IFS(AA54&gt;=90, "A", AA54&gt;=80, "B", AA54&gt;=75, "C", AA54&gt;=65, "D", AA54&gt;=0, "E"))</f>
        <v/>
      </c>
      <c r="AD54" s="39" t="n"/>
      <c r="AG54" s="38" t="n"/>
      <c r="AH54" s="38" t="n"/>
      <c r="AI54" s="38" t="n"/>
    </row>
    <row r="55" ht="18" customHeight="1">
      <c r="A55" s="169" t="n">
        <v>43</v>
      </c>
      <c r="B55" s="442">
        <f>'INPUT DATA'!L53</f>
        <v/>
      </c>
      <c r="C55" s="673" t="n"/>
      <c r="D55" s="673" t="n"/>
      <c r="E55" s="674" t="n"/>
      <c r="F55" s="52" t="n"/>
      <c r="G55" s="49" t="n"/>
      <c r="H55" s="49" t="n"/>
      <c r="I55" s="49" t="n"/>
      <c r="J55" s="49" t="n"/>
      <c r="K55" s="48">
        <f>IF(COUNT($F55:$J55)=0,"",SUM($F55:$J55))</f>
        <v/>
      </c>
      <c r="L55" s="47">
        <f>IFERROR(IF(K55="","",ROUND(K55/$K$11*100,2)),"")</f>
        <v/>
      </c>
      <c r="M55" s="54">
        <f>IFERROR(IF(L55="","",ROUND(L55*$M$11,2)),"")</f>
        <v/>
      </c>
      <c r="N55" s="52" t="n"/>
      <c r="O55" s="49" t="n"/>
      <c r="P55" s="49" t="n"/>
      <c r="Q55" s="48">
        <f>IF(COUNT($N55:$P55)=0,"",SUM($N55:$P55))</f>
        <v/>
      </c>
      <c r="R55" s="47">
        <f>IFERROR(IF(Q55="","",ROUND(Q55/$Q$11*100,2)),"")</f>
        <v/>
      </c>
      <c r="S55" s="54">
        <f>IFERROR(IF(R55="","",ROUND(R55*$S$11,2)),"")</f>
        <v/>
      </c>
      <c r="T55" s="265" t="n"/>
      <c r="U55" s="46" t="n"/>
      <c r="V55" s="268" t="n"/>
      <c r="W55" s="272">
        <f>IF(COUNT($T55:$V55)=0,"",SUM($T55:$V55))</f>
        <v/>
      </c>
      <c r="X55" s="352">
        <f>IFERROR(IF(W55="","",ROUND((($T55/$T$11)*30 + ($U55/$U$11)*30 + ($V55/$V$11)*40),2)),"")</f>
        <v/>
      </c>
      <c r="Y55" s="54">
        <f>IFERROR(IF(X55="","",ROUND(X55*$Y$11,2)),"")</f>
        <v/>
      </c>
      <c r="Z55" s="55">
        <f>IFERROR(M55+S55+Y55,"")</f>
        <v/>
      </c>
      <c r="AA55" s="274">
        <f>IFERROR(VLOOKUP(Z55,'Helper(IMPORTANT!)'!$CQ$1:$CR$41,2,TRUE),"")</f>
        <v/>
      </c>
      <c r="AB55" s="170">
        <f t="array" ref="AB55">IF(AA55="", "", _xlfn.IFS(AA55&gt;=90, "A", AA55&gt;=80, "B", AA55&gt;=75, "C", AA55&gt;=65, "D", AA55&gt;=0, "E"))</f>
        <v/>
      </c>
      <c r="AD55" s="39" t="n"/>
      <c r="AG55" s="38" t="n"/>
      <c r="AH55" s="38" t="n"/>
      <c r="AI55" s="38" t="n"/>
    </row>
    <row r="56" ht="18" customHeight="1">
      <c r="A56" s="169" t="n">
        <v>44</v>
      </c>
      <c r="B56" s="442">
        <f>'INPUT DATA'!L54</f>
        <v/>
      </c>
      <c r="C56" s="673" t="n"/>
      <c r="D56" s="673" t="n"/>
      <c r="E56" s="674" t="n"/>
      <c r="F56" s="52" t="n"/>
      <c r="G56" s="49" t="n"/>
      <c r="H56" s="49" t="n"/>
      <c r="I56" s="49" t="n"/>
      <c r="J56" s="49" t="n"/>
      <c r="K56" s="48">
        <f>IF(COUNT($F56:$J56)=0,"",SUM($F56:$J56))</f>
        <v/>
      </c>
      <c r="L56" s="47">
        <f>IFERROR(IF(K56="","",ROUND(K56/$K$11*100,2)),"")</f>
        <v/>
      </c>
      <c r="M56" s="54">
        <f>IFERROR(IF(L56="","",ROUND(L56*$M$11,2)),"")</f>
        <v/>
      </c>
      <c r="N56" s="52" t="n"/>
      <c r="O56" s="49" t="n"/>
      <c r="P56" s="49" t="n"/>
      <c r="Q56" s="48">
        <f>IF(COUNT($N56:$P56)=0,"",SUM($N56:$P56))</f>
        <v/>
      </c>
      <c r="R56" s="47">
        <f>IFERROR(IF(Q56="","",ROUND(Q56/$Q$11*100,2)),"")</f>
        <v/>
      </c>
      <c r="S56" s="54">
        <f>IFERROR(IF(R56="","",ROUND(R56*$S$11,2)),"")</f>
        <v/>
      </c>
      <c r="T56" s="265" t="n"/>
      <c r="U56" s="46" t="n"/>
      <c r="V56" s="268" t="n"/>
      <c r="W56" s="272">
        <f>IF(COUNT($T56:$V56)=0,"",SUM($T56:$V56))</f>
        <v/>
      </c>
      <c r="X56" s="352">
        <f>IFERROR(IF(W56="","",ROUND((($T56/$T$11)*30 + ($U56/$U$11)*30 + ($V56/$V$11)*40),2)),"")</f>
        <v/>
      </c>
      <c r="Y56" s="54">
        <f>IFERROR(IF(X56="","",ROUND(X56*$Y$11,2)),"")</f>
        <v/>
      </c>
      <c r="Z56" s="55">
        <f>IFERROR(M56+S56+Y56,"")</f>
        <v/>
      </c>
      <c r="AA56" s="274">
        <f>IFERROR(VLOOKUP(Z56,'Helper(IMPORTANT!)'!$CQ$1:$CR$41,2,TRUE),"")</f>
        <v/>
      </c>
      <c r="AB56" s="170">
        <f t="array" ref="AB56">IF(AA56="", "", _xlfn.IFS(AA56&gt;=90, "A", AA56&gt;=80, "B", AA56&gt;=75, "C", AA56&gt;=65, "D", AA56&gt;=0, "E"))</f>
        <v/>
      </c>
      <c r="AD56" s="39" t="n"/>
      <c r="AG56" s="38" t="n"/>
      <c r="AH56" s="38" t="n"/>
      <c r="AI56" s="38" t="n"/>
    </row>
    <row r="57" ht="18" customHeight="1">
      <c r="A57" s="169" t="n">
        <v>45</v>
      </c>
      <c r="B57" s="442">
        <f>'INPUT DATA'!L55</f>
        <v/>
      </c>
      <c r="C57" s="673" t="n"/>
      <c r="D57" s="673" t="n"/>
      <c r="E57" s="674" t="n"/>
      <c r="F57" s="52" t="n"/>
      <c r="G57" s="49" t="n"/>
      <c r="H57" s="49" t="n"/>
      <c r="I57" s="49" t="n"/>
      <c r="J57" s="49" t="n"/>
      <c r="K57" s="48">
        <f>IF(COUNT($F57:$J57)=0,"",SUM($F57:$J57))</f>
        <v/>
      </c>
      <c r="L57" s="47">
        <f>IFERROR(IF(K57="","",ROUND(K57/$K$11*100,2)),"")</f>
        <v/>
      </c>
      <c r="M57" s="54">
        <f>IFERROR(IF(L57="","",ROUND(L57*$M$11,2)),"")</f>
        <v/>
      </c>
      <c r="N57" s="52" t="n"/>
      <c r="O57" s="49" t="n"/>
      <c r="P57" s="49" t="n"/>
      <c r="Q57" s="48">
        <f>IF(COUNT($N57:$P57)=0,"",SUM($N57:$P57))</f>
        <v/>
      </c>
      <c r="R57" s="47">
        <f>IFERROR(IF(Q57="","",ROUND(Q57/$Q$11*100,2)),"")</f>
        <v/>
      </c>
      <c r="S57" s="54">
        <f>IFERROR(IF(R57="","",ROUND(R57*$S$11,2)),"")</f>
        <v/>
      </c>
      <c r="T57" s="265" t="n"/>
      <c r="U57" s="46" t="n"/>
      <c r="V57" s="268" t="n"/>
      <c r="W57" s="272">
        <f>IF(COUNT($T57:$V57)=0,"",SUM($T57:$V57))</f>
        <v/>
      </c>
      <c r="X57" s="352">
        <f>IFERROR(IF(W57="","",ROUND((($T57/$T$11)*30 + ($U57/$U$11)*30 + ($V57/$V$11)*40),2)),"")</f>
        <v/>
      </c>
      <c r="Y57" s="54">
        <f>IFERROR(IF(X57="","",ROUND(X57*$Y$11,2)),"")</f>
        <v/>
      </c>
      <c r="Z57" s="55">
        <f>IFERROR(M57+S57+Y57,"")</f>
        <v/>
      </c>
      <c r="AA57" s="274">
        <f>IFERROR(VLOOKUP(Z57,'Helper(IMPORTANT!)'!$CQ$1:$CR$41,2,TRUE),"")</f>
        <v/>
      </c>
      <c r="AB57" s="170">
        <f t="array" ref="AB57">IF(AA57="", "", _xlfn.IFS(AA57&gt;=90, "A", AA57&gt;=80, "B", AA57&gt;=75, "C", AA57&gt;=65, "D", AA57&gt;=0, "E"))</f>
        <v/>
      </c>
      <c r="AD57" s="39" t="n"/>
      <c r="AG57" s="38" t="n"/>
      <c r="AH57" s="38" t="n"/>
      <c r="AI57" s="38" t="n"/>
    </row>
    <row r="58" ht="18" customHeight="1">
      <c r="A58" s="169" t="n">
        <v>46</v>
      </c>
      <c r="B58" s="442">
        <f>'INPUT DATA'!L56</f>
        <v/>
      </c>
      <c r="C58" s="673" t="n"/>
      <c r="D58" s="673" t="n"/>
      <c r="E58" s="674" t="n"/>
      <c r="F58" s="52" t="n"/>
      <c r="G58" s="49" t="n"/>
      <c r="H58" s="49" t="n"/>
      <c r="I58" s="49" t="n"/>
      <c r="J58" s="49" t="n"/>
      <c r="K58" s="48">
        <f>IF(COUNT($F58:$J58)=0,"",SUM($F58:$J58))</f>
        <v/>
      </c>
      <c r="L58" s="47">
        <f>IFERROR(IF(K58="","",ROUND(K58/$K$11*100,2)),"")</f>
        <v/>
      </c>
      <c r="M58" s="54">
        <f>IFERROR(IF(L58="","",ROUND(L58*$M$11,2)),"")</f>
        <v/>
      </c>
      <c r="N58" s="52" t="n"/>
      <c r="O58" s="49" t="n"/>
      <c r="P58" s="49" t="n"/>
      <c r="Q58" s="48">
        <f>IF(COUNT($N58:$P58)=0,"",SUM($N58:$P58))</f>
        <v/>
      </c>
      <c r="R58" s="47">
        <f>IFERROR(IF(Q58="","",ROUND(Q58/$Q$11*100,2)),"")</f>
        <v/>
      </c>
      <c r="S58" s="54">
        <f>IFERROR(IF(R58="","",ROUND(R58*$S$11,2)),"")</f>
        <v/>
      </c>
      <c r="T58" s="265" t="n"/>
      <c r="U58" s="46" t="n"/>
      <c r="V58" s="268" t="n"/>
      <c r="W58" s="272">
        <f>IF(COUNT($T58:$V58)=0,"",SUM($T58:$V58))</f>
        <v/>
      </c>
      <c r="X58" s="352">
        <f>IFERROR(IF(W58="","",ROUND((($T58/$T$11)*30 + ($U58/$U$11)*30 + ($V58/$V$11)*40),2)),"")</f>
        <v/>
      </c>
      <c r="Y58" s="54">
        <f>IFERROR(IF(X58="","",ROUND(X58*$Y$11,2)),"")</f>
        <v/>
      </c>
      <c r="Z58" s="55">
        <f>IFERROR(M58+S58+Y58,"")</f>
        <v/>
      </c>
      <c r="AA58" s="274">
        <f>IFERROR(VLOOKUP(Z58,'Helper(IMPORTANT!)'!$CQ$1:$CR$41,2,TRUE),"")</f>
        <v/>
      </c>
      <c r="AB58" s="170">
        <f t="array" ref="AB58">IF(AA58="", "", _xlfn.IFS(AA58&gt;=90, "A", AA58&gt;=80, "B", AA58&gt;=75, "C", AA58&gt;=65, "D", AA58&gt;=0, "E"))</f>
        <v/>
      </c>
      <c r="AD58" s="39" t="n"/>
      <c r="AG58" s="38" t="n"/>
      <c r="AH58" s="38" t="n"/>
      <c r="AI58" s="38" t="n"/>
    </row>
    <row r="59" ht="18" customHeight="1">
      <c r="A59" s="169" t="n">
        <v>47</v>
      </c>
      <c r="B59" s="442">
        <f>'INPUT DATA'!L57</f>
        <v/>
      </c>
      <c r="C59" s="673" t="n"/>
      <c r="D59" s="673" t="n"/>
      <c r="E59" s="674" t="n"/>
      <c r="F59" s="52" t="n"/>
      <c r="G59" s="49" t="n"/>
      <c r="H59" s="49" t="n"/>
      <c r="I59" s="49" t="n"/>
      <c r="J59" s="49" t="n"/>
      <c r="K59" s="48">
        <f>IF(COUNT($F59:$J59)=0,"",SUM($F59:$J59))</f>
        <v/>
      </c>
      <c r="L59" s="47">
        <f>IFERROR(IF(K59="","",ROUND(K59/$K$11*100,2)),"")</f>
        <v/>
      </c>
      <c r="M59" s="54">
        <f>IFERROR(IF(L59="","",ROUND(L59*$M$11,2)),"")</f>
        <v/>
      </c>
      <c r="N59" s="52" t="n"/>
      <c r="O59" s="49" t="n"/>
      <c r="P59" s="49" t="n"/>
      <c r="Q59" s="48">
        <f>IF(COUNT($N59:$P59)=0,"",SUM($N59:$P59))</f>
        <v/>
      </c>
      <c r="R59" s="47">
        <f>IFERROR(IF(Q59="","",ROUND(Q59/$Q$11*100,2)),"")</f>
        <v/>
      </c>
      <c r="S59" s="54">
        <f>IFERROR(IF(R59="","",ROUND(R59*$S$11,2)),"")</f>
        <v/>
      </c>
      <c r="T59" s="265" t="n"/>
      <c r="U59" s="46" t="n"/>
      <c r="V59" s="268" t="n"/>
      <c r="W59" s="272">
        <f>IF(COUNT($T59:$V59)=0,"",SUM($T59:$V59))</f>
        <v/>
      </c>
      <c r="X59" s="352">
        <f>IFERROR(IF(W59="","",ROUND((($T59/$T$11)*30 + ($U59/$U$11)*30 + ($V59/$V$11)*40),2)),"")</f>
        <v/>
      </c>
      <c r="Y59" s="54">
        <f>IFERROR(IF(X59="","",ROUND(X59*$Y$11,2)),"")</f>
        <v/>
      </c>
      <c r="Z59" s="55">
        <f>IFERROR(M59+S59+Y59,"")</f>
        <v/>
      </c>
      <c r="AA59" s="274">
        <f>IFERROR(VLOOKUP(Z59,'Helper(IMPORTANT!)'!$CQ$1:$CR$41,2,TRUE),"")</f>
        <v/>
      </c>
      <c r="AB59" s="170">
        <f t="array" ref="AB59">IF(AA59="", "", _xlfn.IFS(AA59&gt;=90, "A", AA59&gt;=80, "B", AA59&gt;=75, "C", AA59&gt;=65, "D", AA59&gt;=0, "E"))</f>
        <v/>
      </c>
      <c r="AD59" s="39" t="n"/>
      <c r="AG59" s="38" t="n"/>
      <c r="AH59" s="38" t="n"/>
      <c r="AI59" s="38" t="n"/>
    </row>
    <row r="60" ht="18" customHeight="1">
      <c r="A60" s="169" t="n">
        <v>48</v>
      </c>
      <c r="B60" s="442">
        <f>'INPUT DATA'!L58</f>
        <v/>
      </c>
      <c r="C60" s="673" t="n"/>
      <c r="D60" s="673" t="n"/>
      <c r="E60" s="674" t="n"/>
      <c r="F60" s="52" t="n"/>
      <c r="G60" s="49" t="n"/>
      <c r="H60" s="49" t="n"/>
      <c r="I60" s="49" t="n"/>
      <c r="J60" s="49" t="n"/>
      <c r="K60" s="48">
        <f>IF(COUNT($F60:$J60)=0,"",SUM($F60:$J60))</f>
        <v/>
      </c>
      <c r="L60" s="47">
        <f>IFERROR(IF(K60="","",ROUND(K60/$K$11*100,2)),"")</f>
        <v/>
      </c>
      <c r="M60" s="54">
        <f>IFERROR(IF(L60="","",ROUND(L60*$M$11,2)),"")</f>
        <v/>
      </c>
      <c r="N60" s="52" t="n"/>
      <c r="O60" s="49" t="n"/>
      <c r="P60" s="49" t="n"/>
      <c r="Q60" s="48">
        <f>IF(COUNT($N60:$P60)=0,"",SUM($N60:$P60))</f>
        <v/>
      </c>
      <c r="R60" s="47">
        <f>IFERROR(IF(Q60="","",ROUND(Q60/$Q$11*100,2)),"")</f>
        <v/>
      </c>
      <c r="S60" s="54">
        <f>IFERROR(IF(R60="","",ROUND(R60*$S$11,2)),"")</f>
        <v/>
      </c>
      <c r="T60" s="265" t="n"/>
      <c r="U60" s="46" t="n"/>
      <c r="V60" s="268" t="n"/>
      <c r="W60" s="272">
        <f>IF(COUNT($T60:$V60)=0,"",SUM($T60:$V60))</f>
        <v/>
      </c>
      <c r="X60" s="352">
        <f>IFERROR(IF(W60="","",ROUND((($T60/$T$11)*30 + ($U60/$U$11)*30 + ($V60/$V$11)*40),2)),"")</f>
        <v/>
      </c>
      <c r="Y60" s="54">
        <f>IFERROR(IF(X60="","",ROUND(X60*$Y$11,2)),"")</f>
        <v/>
      </c>
      <c r="Z60" s="55">
        <f>IFERROR(M60+S60+Y60,"")</f>
        <v/>
      </c>
      <c r="AA60" s="274">
        <f>IFERROR(VLOOKUP(Z60,'Helper(IMPORTANT!)'!$CQ$1:$CR$41,2,TRUE),"")</f>
        <v/>
      </c>
      <c r="AB60" s="170">
        <f t="array" ref="AB60">IF(AA60="", "", _xlfn.IFS(AA60&gt;=90, "A", AA60&gt;=80, "B", AA60&gt;=75, "C", AA60&gt;=65, "D", AA60&gt;=0, "E"))</f>
        <v/>
      </c>
      <c r="AD60" s="39" t="n"/>
      <c r="AG60" s="38" t="n"/>
      <c r="AH60" s="38" t="n"/>
      <c r="AI60" s="38" t="n"/>
    </row>
    <row r="61" ht="18" customHeight="1">
      <c r="A61" s="169" t="n">
        <v>49</v>
      </c>
      <c r="B61" s="442">
        <f>'INPUT DATA'!L59</f>
        <v/>
      </c>
      <c r="C61" s="673" t="n"/>
      <c r="D61" s="673" t="n"/>
      <c r="E61" s="674" t="n"/>
      <c r="F61" s="52" t="n"/>
      <c r="G61" s="49" t="n"/>
      <c r="H61" s="49" t="n"/>
      <c r="I61" s="49" t="n"/>
      <c r="J61" s="49" t="n"/>
      <c r="K61" s="48">
        <f>IF(COUNT($F61:$J61)=0,"",SUM($F61:$J61))</f>
        <v/>
      </c>
      <c r="L61" s="47">
        <f>IFERROR(IF(K61="","",ROUND(K61/$K$11*100,2)),"")</f>
        <v/>
      </c>
      <c r="M61" s="54">
        <f>IFERROR(IF(L61="","",ROUND(L61*$M$11,2)),"")</f>
        <v/>
      </c>
      <c r="N61" s="52" t="n"/>
      <c r="O61" s="49" t="n"/>
      <c r="P61" s="49" t="n"/>
      <c r="Q61" s="48">
        <f>IF(COUNT($N61:$P61)=0,"",SUM($N61:$P61))</f>
        <v/>
      </c>
      <c r="R61" s="47">
        <f>IFERROR(IF(Q61="","",ROUND(Q61/$Q$11*100,2)),"")</f>
        <v/>
      </c>
      <c r="S61" s="54">
        <f>IFERROR(IF(R61="","",ROUND(R61*$S$11,2)),"")</f>
        <v/>
      </c>
      <c r="T61" s="265" t="n"/>
      <c r="U61" s="46" t="n"/>
      <c r="V61" s="268" t="n"/>
      <c r="W61" s="272">
        <f>IF(COUNT($T61:$V61)=0,"",SUM($T61:$V61))</f>
        <v/>
      </c>
      <c r="X61" s="352">
        <f>IFERROR(IF(W61="","",ROUND((($T61/$T$11)*30 + ($U61/$U$11)*30 + ($V61/$V$11)*40),2)),"")</f>
        <v/>
      </c>
      <c r="Y61" s="54">
        <f>IFERROR(IF(X61="","",ROUND(X61*$Y$11,2)),"")</f>
        <v/>
      </c>
      <c r="Z61" s="55">
        <f>IFERROR(M61+S61+Y61,"")</f>
        <v/>
      </c>
      <c r="AA61" s="274">
        <f>IFERROR(VLOOKUP(Z61,'Helper(IMPORTANT!)'!$CQ$1:$CR$41,2,TRUE),"")</f>
        <v/>
      </c>
      <c r="AB61" s="170">
        <f t="array" ref="AB61">IF(AA61="", "", _xlfn.IFS(AA61&gt;=90, "A", AA61&gt;=80, "B", AA61&gt;=75, "C", AA61&gt;=65, "D", AA61&gt;=0, "E"))</f>
        <v/>
      </c>
      <c r="AD61" s="39" t="n"/>
      <c r="AG61" s="38" t="n"/>
      <c r="AH61" s="38" t="n"/>
      <c r="AI61" s="38" t="n"/>
    </row>
    <row r="62" ht="18" customHeight="1" thickBot="1">
      <c r="A62" s="171" t="n">
        <v>50</v>
      </c>
      <c r="B62" s="442">
        <f>'INPUT DATA'!L60</f>
        <v/>
      </c>
      <c r="C62" s="673" t="n"/>
      <c r="D62" s="673" t="n"/>
      <c r="E62" s="674" t="n"/>
      <c r="F62" s="173" t="n"/>
      <c r="G62" s="174" t="n"/>
      <c r="H62" s="174" t="n"/>
      <c r="I62" s="174" t="n"/>
      <c r="J62" s="174" t="n"/>
      <c r="K62" s="175">
        <f>IF(COUNT($F62:$J62)=0,"",SUM($F62:$J62))</f>
        <v/>
      </c>
      <c r="L62" s="176">
        <f>IFERROR(IF(K62="","",ROUND(K62/$K$11*100,2)),"")</f>
        <v/>
      </c>
      <c r="M62" s="177">
        <f>IFERROR(IF(L62="","",ROUND(L62*$M$11,2)),"")</f>
        <v/>
      </c>
      <c r="N62" s="173" t="n"/>
      <c r="O62" s="174" t="n"/>
      <c r="P62" s="174" t="n"/>
      <c r="Q62" s="175">
        <f>IF(COUNT($N62:$P62)=0,"",SUM($N62:$P62))</f>
        <v/>
      </c>
      <c r="R62" s="176">
        <f>IFERROR(IF(Q62="","",ROUND(Q62/$Q$11*100,2)),"")</f>
        <v/>
      </c>
      <c r="S62" s="177">
        <f>IFERROR(IF(R62="","",ROUND(R62*$S$11,2)),"")</f>
        <v/>
      </c>
      <c r="T62" s="266" t="n"/>
      <c r="U62" s="284" t="n"/>
      <c r="V62" s="269" t="n"/>
      <c r="W62" s="285">
        <f>IF(COUNT($T62:$V62)=0,"",SUM($T62:$V62))</f>
        <v/>
      </c>
      <c r="X62" s="353">
        <f>IFERROR(IF(W62="","",ROUND((($T62/$T$11)*30 + ($U62/$U$11)*30 + ($V62/$V$11)*40),2)),"")</f>
        <v/>
      </c>
      <c r="Y62" s="177">
        <f>IFERROR(IF(X62="","",ROUND(X62*$Y$11,2)),"")</f>
        <v/>
      </c>
      <c r="Z62" s="178">
        <f>IFERROR(M62+S62+Y62,"")</f>
        <v/>
      </c>
      <c r="AA62" s="286">
        <f>IFERROR(VLOOKUP(Z62,'Helper(IMPORTANT!)'!$CQ$1:$CR$41,2,TRUE),"")</f>
        <v/>
      </c>
      <c r="AB62" s="179">
        <f t="array" ref="AB62">IF(AA62="", "", _xlfn.IFS(AA62&gt;=90, "A", AA62&gt;=80, "B", AA62&gt;=75, "C", AA62&gt;=65, "D", AA62&gt;=0, "E"))</f>
        <v/>
      </c>
      <c r="AD62" s="39" t="n"/>
      <c r="AG62" s="38" t="n"/>
      <c r="AH62" s="38" t="n"/>
      <c r="AI62" s="38" t="n"/>
    </row>
    <row r="63" ht="18" customHeight="1">
      <c r="A63" s="675" t="inlineStr">
        <is>
          <t>FEMALE</t>
        </is>
      </c>
      <c r="B63" s="649" t="n"/>
      <c r="C63" s="649" t="n"/>
      <c r="D63" s="649" t="n"/>
      <c r="E63" s="649" t="n"/>
      <c r="F63" s="649" t="n"/>
      <c r="G63" s="649" t="n"/>
      <c r="H63" s="649" t="n"/>
      <c r="I63" s="649" t="n"/>
      <c r="J63" s="649" t="n"/>
      <c r="K63" s="649" t="n"/>
      <c r="L63" s="649" t="n"/>
      <c r="M63" s="649" t="n"/>
      <c r="N63" s="649" t="n"/>
      <c r="O63" s="649" t="n"/>
      <c r="P63" s="649" t="n"/>
      <c r="Q63" s="649" t="n"/>
      <c r="R63" s="649" t="n"/>
      <c r="S63" s="649" t="n"/>
      <c r="T63" s="649" t="n"/>
      <c r="U63" s="649" t="n"/>
      <c r="V63" s="649" t="n"/>
      <c r="W63" s="649" t="n"/>
      <c r="X63" s="649" t="n"/>
      <c r="Y63" s="649" t="n"/>
      <c r="Z63" s="649" t="n"/>
      <c r="AA63" s="649" t="n"/>
      <c r="AB63" s="676" t="n"/>
      <c r="AD63" s="39" t="n"/>
      <c r="AG63" s="38" t="n"/>
      <c r="AH63" s="38" t="n"/>
      <c r="AI63" s="38" t="n"/>
    </row>
    <row r="64" ht="18" customHeight="1">
      <c r="A64" s="169" t="n">
        <v>1</v>
      </c>
      <c r="B64" s="442">
        <f>'INPUT DATA'!O11</f>
        <v/>
      </c>
      <c r="C64" s="673" t="n"/>
      <c r="D64" s="673" t="n"/>
      <c r="E64" s="674" t="n"/>
      <c r="F64" s="52" t="n"/>
      <c r="G64" s="49" t="n"/>
      <c r="H64" s="49" t="n"/>
      <c r="I64" s="49" t="n"/>
      <c r="J64" s="49" t="n"/>
      <c r="K64" s="48">
        <f>IF(COUNT($F64:$J64)=0,"",SUM($F64:$J64))</f>
        <v/>
      </c>
      <c r="L64" s="47">
        <f>IFERROR(IF(K64="","",ROUND(K64/$K$11*100,2)),"")</f>
        <v/>
      </c>
      <c r="M64" s="54">
        <f>IFERROR(IF(L64="","",ROUND(L64*$M$11,2)),"")</f>
        <v/>
      </c>
      <c r="N64" s="52" t="n"/>
      <c r="O64" s="49" t="n"/>
      <c r="P64" s="49" t="n"/>
      <c r="Q64" s="48">
        <f>IF(COUNT($N64:$P64)=0,"",SUM($N64:$P64))</f>
        <v/>
      </c>
      <c r="R64" s="47">
        <f>IFERROR(IF(Q64="","",ROUND(Q64/$Q$11*100,2)),"")</f>
        <v/>
      </c>
      <c r="S64" s="54">
        <f>IFERROR(IF(R64="","",ROUND(R64*$S$11,2)),"")</f>
        <v/>
      </c>
      <c r="T64" s="265" t="n"/>
      <c r="U64" s="46" t="n"/>
      <c r="V64" s="268" t="n"/>
      <c r="W64" s="272">
        <f>IF(COUNT($T64:$V64)=0,"",SUM($T64:$V64))</f>
        <v/>
      </c>
      <c r="X64" s="352">
        <f>IFERROR(IF(W64="","",ROUND((($T64/$T$11)*30 + ($U64/$U$11)*30 + ($V64/$V$11)*40),2)),"")</f>
        <v/>
      </c>
      <c r="Y64" s="54">
        <f>IFERROR(IF(X64="","",ROUND(X64*$Y$11,2)),"")</f>
        <v/>
      </c>
      <c r="Z64" s="55">
        <f>IFERROR(M64+S64+Y64,"")</f>
        <v/>
      </c>
      <c r="AA64" s="274">
        <f>IFERROR(VLOOKUP(Z64,'Helper(IMPORTANT!)'!$CQ$1:$CR$41,2,TRUE),"")</f>
        <v/>
      </c>
      <c r="AB64" s="170">
        <f t="array" ref="AB64">IF(AA64="", "", _xlfn.IFS(AA64&gt;=90, "A", AA64&gt;=80, "B", AA64&gt;=75, "C", AA64&gt;=65, "D", AA64&gt;=0, "E"))</f>
        <v/>
      </c>
      <c r="AD64" s="39" t="n"/>
      <c r="AG64" s="38" t="n"/>
      <c r="AH64" s="38" t="n"/>
      <c r="AI64" s="38" t="n"/>
    </row>
    <row r="65" ht="18" customHeight="1">
      <c r="A65" s="169" t="n">
        <v>2</v>
      </c>
      <c r="B65" s="442">
        <f>'INPUT DATA'!O12</f>
        <v/>
      </c>
      <c r="C65" s="673" t="n"/>
      <c r="D65" s="673" t="n"/>
      <c r="E65" s="674" t="n"/>
      <c r="F65" s="52" t="n"/>
      <c r="G65" s="49" t="n"/>
      <c r="H65" s="49" t="n"/>
      <c r="I65" s="49" t="n"/>
      <c r="J65" s="49" t="n"/>
      <c r="K65" s="48">
        <f>IF(COUNT($F65:$J65)=0,"",SUM($F65:$J65))</f>
        <v/>
      </c>
      <c r="L65" s="47">
        <f>IFERROR(IF(K65="","",ROUND(K65/$K$11*100,2)),"")</f>
        <v/>
      </c>
      <c r="M65" s="54">
        <f>IFERROR(IF(L65="","",ROUND(L65*$M$11,2)),"")</f>
        <v/>
      </c>
      <c r="N65" s="52" t="n"/>
      <c r="O65" s="49" t="n"/>
      <c r="P65" s="49" t="n"/>
      <c r="Q65" s="48">
        <f>IF(COUNT($N65:$P65)=0,"",SUM($N65:$P65))</f>
        <v/>
      </c>
      <c r="R65" s="47">
        <f>IFERROR(IF(Q65="","",ROUND(Q65/$Q$11*100,2)),"")</f>
        <v/>
      </c>
      <c r="S65" s="54">
        <f>IFERROR(IF(R65="","",ROUND(R65*$S$11,2)),"")</f>
        <v/>
      </c>
      <c r="T65" s="265" t="n"/>
      <c r="U65" s="46" t="n"/>
      <c r="V65" s="268" t="n"/>
      <c r="W65" s="272">
        <f>IF(COUNT($T65:$V65)=0,"",SUM($T65:$V65))</f>
        <v/>
      </c>
      <c r="X65" s="352">
        <f>IFERROR(IF(W65="","",ROUND((($T65/$T$11)*30 + ($U65/$U$11)*30 + ($V65/$V$11)*40),2)),"")</f>
        <v/>
      </c>
      <c r="Y65" s="54">
        <f>IFERROR(IF(X65="","",ROUND(X65*$Y$11,2)),"")</f>
        <v/>
      </c>
      <c r="Z65" s="55">
        <f>IFERROR(M65+S65+Y65,"")</f>
        <v/>
      </c>
      <c r="AA65" s="274">
        <f>IFERROR(VLOOKUP(Z65,'Helper(IMPORTANT!)'!$CQ$1:$CR$41,2,TRUE),"")</f>
        <v/>
      </c>
      <c r="AB65" s="170">
        <f t="array" ref="AB65">IF(AA65="", "", _xlfn.IFS(AA65&gt;=90, "A", AA65&gt;=80, "B", AA65&gt;=75, "C", AA65&gt;=65, "D", AA65&gt;=0, "E"))</f>
        <v/>
      </c>
      <c r="AD65" s="39" t="n"/>
      <c r="AG65" s="38" t="n"/>
      <c r="AH65" s="38" t="n"/>
      <c r="AI65" s="38" t="n"/>
    </row>
    <row r="66" ht="18" customHeight="1">
      <c r="A66" s="169" t="n">
        <v>3</v>
      </c>
      <c r="B66" s="442">
        <f>'INPUT DATA'!O13</f>
        <v/>
      </c>
      <c r="C66" s="673" t="n"/>
      <c r="D66" s="673" t="n"/>
      <c r="E66" s="674" t="n"/>
      <c r="F66" s="52" t="n"/>
      <c r="G66" s="49" t="n"/>
      <c r="H66" s="49" t="n"/>
      <c r="I66" s="49" t="n"/>
      <c r="J66" s="49" t="n"/>
      <c r="K66" s="48">
        <f>IF(COUNT($F66:$J66)=0,"",SUM($F66:$J66))</f>
        <v/>
      </c>
      <c r="L66" s="47">
        <f>IFERROR(IF(K66="","",ROUND(K66/$K$11*100,2)),"")</f>
        <v/>
      </c>
      <c r="M66" s="54">
        <f>IFERROR(IF(L66="","",ROUND(L66*$M$11,2)),"")</f>
        <v/>
      </c>
      <c r="N66" s="52" t="n"/>
      <c r="O66" s="49" t="n"/>
      <c r="P66" s="49" t="n"/>
      <c r="Q66" s="48">
        <f>IF(COUNT($N66:$P66)=0,"",SUM($N66:$P66))</f>
        <v/>
      </c>
      <c r="R66" s="47">
        <f>IFERROR(IF(Q66="","",ROUND(Q66/$Q$11*100,2)),"")</f>
        <v/>
      </c>
      <c r="S66" s="54">
        <f>IFERROR(IF(R66="","",ROUND(R66*$S$11,2)),"")</f>
        <v/>
      </c>
      <c r="T66" s="265" t="n"/>
      <c r="U66" s="46" t="n"/>
      <c r="V66" s="268" t="n"/>
      <c r="W66" s="272">
        <f>IF(COUNT($T66:$V66)=0,"",SUM($T66:$V66))</f>
        <v/>
      </c>
      <c r="X66" s="352">
        <f>IFERROR(IF(W66="","",ROUND((($T66/$T$11)*30 + ($U66/$U$11)*30 + ($V66/$V$11)*40),2)),"")</f>
        <v/>
      </c>
      <c r="Y66" s="54">
        <f>IFERROR(IF(X66="","",ROUND(X66*$Y$11,2)),"")</f>
        <v/>
      </c>
      <c r="Z66" s="55">
        <f>IFERROR(M66+S66+Y66,"")</f>
        <v/>
      </c>
      <c r="AA66" s="274">
        <f>IFERROR(VLOOKUP(Z66,'Helper(IMPORTANT!)'!$CQ$1:$CR$41,2,TRUE),"")</f>
        <v/>
      </c>
      <c r="AB66" s="170">
        <f t="array" ref="AB66">IF(AA66="", "", _xlfn.IFS(AA66&gt;=90, "A", AA66&gt;=80, "B", AA66&gt;=75, "C", AA66&gt;=65, "D", AA66&gt;=0, "E"))</f>
        <v/>
      </c>
      <c r="AD66" s="39" t="n"/>
      <c r="AG66" s="38" t="n"/>
      <c r="AH66" s="38" t="n"/>
      <c r="AI66" s="38" t="n"/>
    </row>
    <row r="67" ht="18" customHeight="1">
      <c r="A67" s="169" t="n">
        <v>4</v>
      </c>
      <c r="B67" s="442">
        <f>'INPUT DATA'!O14</f>
        <v/>
      </c>
      <c r="C67" s="673" t="n"/>
      <c r="D67" s="673" t="n"/>
      <c r="E67" s="674" t="n"/>
      <c r="F67" s="52" t="n"/>
      <c r="G67" s="49" t="n"/>
      <c r="H67" s="49" t="n"/>
      <c r="I67" s="49" t="n"/>
      <c r="J67" s="49" t="n"/>
      <c r="K67" s="48">
        <f>IF(COUNT($F67:$J67)=0,"",SUM($F67:$J67))</f>
        <v/>
      </c>
      <c r="L67" s="47">
        <f>IFERROR(IF(K67="","",ROUND(K67/$K$11*100,2)),"")</f>
        <v/>
      </c>
      <c r="M67" s="54">
        <f>IFERROR(IF(L67="","",ROUND(L67*$M$11,2)),"")</f>
        <v/>
      </c>
      <c r="N67" s="52" t="n"/>
      <c r="O67" s="49" t="n"/>
      <c r="P67" s="49" t="n"/>
      <c r="Q67" s="48">
        <f>IF(COUNT($N67:$P67)=0,"",SUM($N67:$P67))</f>
        <v/>
      </c>
      <c r="R67" s="47">
        <f>IFERROR(IF(Q67="","",ROUND(Q67/$Q$11*100,2)),"")</f>
        <v/>
      </c>
      <c r="S67" s="54">
        <f>IFERROR(IF(R67="","",ROUND(R67*$S$11,2)),"")</f>
        <v/>
      </c>
      <c r="T67" s="265" t="n"/>
      <c r="U67" s="46" t="n"/>
      <c r="V67" s="268" t="n"/>
      <c r="W67" s="272">
        <f>IF(COUNT($T67:$V67)=0,"",SUM($T67:$V67))</f>
        <v/>
      </c>
      <c r="X67" s="352">
        <f>IFERROR(IF(W67="","",ROUND((($T67/$T$11)*30 + ($U67/$U$11)*30 + ($V67/$V$11)*40),2)),"")</f>
        <v/>
      </c>
      <c r="Y67" s="54">
        <f>IFERROR(IF(X67="","",ROUND(X67*$Y$11,2)),"")</f>
        <v/>
      </c>
      <c r="Z67" s="55">
        <f>IFERROR(M67+S67+Y67,"")</f>
        <v/>
      </c>
      <c r="AA67" s="274">
        <f>IFERROR(VLOOKUP(Z67,'Helper(IMPORTANT!)'!$CQ$1:$CR$41,2,TRUE),"")</f>
        <v/>
      </c>
      <c r="AB67" s="170">
        <f t="array" ref="AB67">IF(AA67="", "", _xlfn.IFS(AA67&gt;=90, "A", AA67&gt;=80, "B", AA67&gt;=75, "C", AA67&gt;=65, "D", AA67&gt;=0, "E"))</f>
        <v/>
      </c>
      <c r="AD67" s="39" t="n"/>
      <c r="AG67" s="38" t="n"/>
      <c r="AH67" s="38" t="n"/>
      <c r="AI67" s="38" t="n"/>
    </row>
    <row r="68" ht="18" customHeight="1">
      <c r="A68" s="169" t="n">
        <v>5</v>
      </c>
      <c r="B68" s="442">
        <f>'INPUT DATA'!O15</f>
        <v/>
      </c>
      <c r="C68" s="673" t="n"/>
      <c r="D68" s="673" t="n"/>
      <c r="E68" s="674" t="n"/>
      <c r="F68" s="52" t="n"/>
      <c r="G68" s="49" t="n"/>
      <c r="H68" s="49" t="n"/>
      <c r="I68" s="49" t="n"/>
      <c r="J68" s="49" t="n"/>
      <c r="K68" s="48">
        <f>IF(COUNT($F68:$J68)=0,"",SUM($F68:$J68))</f>
        <v/>
      </c>
      <c r="L68" s="47">
        <f>IFERROR(IF(K68="","",ROUND(K68/$K$11*100,2)),"")</f>
        <v/>
      </c>
      <c r="M68" s="54">
        <f>IFERROR(IF(L68="","",ROUND(L68*$M$11,2)),"")</f>
        <v/>
      </c>
      <c r="N68" s="52" t="n"/>
      <c r="O68" s="49" t="n"/>
      <c r="P68" s="49" t="n"/>
      <c r="Q68" s="48">
        <f>IF(COUNT($N68:$P68)=0,"",SUM($N68:$P68))</f>
        <v/>
      </c>
      <c r="R68" s="47">
        <f>IFERROR(IF(Q68="","",ROUND(Q68/$Q$11*100,2)),"")</f>
        <v/>
      </c>
      <c r="S68" s="54">
        <f>IFERROR(IF(R68="","",ROUND(R68*$S$11,2)),"")</f>
        <v/>
      </c>
      <c r="T68" s="265" t="n"/>
      <c r="U68" s="46" t="n"/>
      <c r="V68" s="268" t="n"/>
      <c r="W68" s="272">
        <f>IF(COUNT($T68:$V68)=0,"",SUM($T68:$V68))</f>
        <v/>
      </c>
      <c r="X68" s="352">
        <f>IFERROR(IF(W68="","",ROUND((($T68/$T$11)*30 + ($U68/$U$11)*30 + ($V68/$V$11)*40),2)),"")</f>
        <v/>
      </c>
      <c r="Y68" s="54">
        <f>IFERROR(IF(X68="","",ROUND(X68*$Y$11,2)),"")</f>
        <v/>
      </c>
      <c r="Z68" s="55">
        <f>IFERROR(M68+S68+Y68,"")</f>
        <v/>
      </c>
      <c r="AA68" s="274">
        <f>IFERROR(VLOOKUP(Z68,'Helper(IMPORTANT!)'!$CQ$1:$CR$41,2,TRUE),"")</f>
        <v/>
      </c>
      <c r="AB68" s="170">
        <f t="array" ref="AB68">IF(AA68="", "", _xlfn.IFS(AA68&gt;=90, "A", AA68&gt;=80, "B", AA68&gt;=75, "C", AA68&gt;=65, "D", AA68&gt;=0, "E"))</f>
        <v/>
      </c>
      <c r="AD68" s="39" t="n"/>
      <c r="AG68" s="38" t="n"/>
      <c r="AH68" s="38" t="n"/>
      <c r="AI68" s="38" t="n"/>
    </row>
    <row r="69" ht="18" customHeight="1">
      <c r="A69" s="169" t="n">
        <v>6</v>
      </c>
      <c r="B69" s="442">
        <f>'INPUT DATA'!O16</f>
        <v/>
      </c>
      <c r="C69" s="673" t="n"/>
      <c r="D69" s="673" t="n"/>
      <c r="E69" s="674" t="n"/>
      <c r="F69" s="52" t="n"/>
      <c r="G69" s="49" t="n"/>
      <c r="H69" s="49" t="n"/>
      <c r="I69" s="49" t="n"/>
      <c r="J69" s="49" t="n"/>
      <c r="K69" s="48">
        <f>IF(COUNT($F69:$J69)=0,"",SUM($F69:$J69))</f>
        <v/>
      </c>
      <c r="L69" s="47">
        <f>IFERROR(IF(K69="","",ROUND(K69/$K$11*100,2)),"")</f>
        <v/>
      </c>
      <c r="M69" s="54">
        <f>IFERROR(IF(L69="","",ROUND(L69*$M$11,2)),"")</f>
        <v/>
      </c>
      <c r="N69" s="52" t="n"/>
      <c r="O69" s="49" t="n"/>
      <c r="P69" s="49" t="n"/>
      <c r="Q69" s="48">
        <f>IF(COUNT($N69:$P69)=0,"",SUM($N69:$P69))</f>
        <v/>
      </c>
      <c r="R69" s="47">
        <f>IFERROR(IF(Q69="","",ROUND(Q69/$Q$11*100,2)),"")</f>
        <v/>
      </c>
      <c r="S69" s="54">
        <f>IFERROR(IF(R69="","",ROUND(R69*$S$11,2)),"")</f>
        <v/>
      </c>
      <c r="T69" s="265" t="n"/>
      <c r="U69" s="46" t="n"/>
      <c r="V69" s="268" t="n"/>
      <c r="W69" s="272">
        <f>IF(COUNT($T69:$V69)=0,"",SUM($T69:$V69))</f>
        <v/>
      </c>
      <c r="X69" s="352">
        <f>IFERROR(IF(W69="","",ROUND((($T69/$T$11)*30 + ($U69/$U$11)*30 + ($V69/$V$11)*40),2)),"")</f>
        <v/>
      </c>
      <c r="Y69" s="54">
        <f>IFERROR(IF(X69="","",ROUND(X69*$Y$11,2)),"")</f>
        <v/>
      </c>
      <c r="Z69" s="55">
        <f>IFERROR(M69+S69+Y69,"")</f>
        <v/>
      </c>
      <c r="AA69" s="274">
        <f>IFERROR(VLOOKUP(Z69,'Helper(IMPORTANT!)'!$CQ$1:$CR$41,2,TRUE),"")</f>
        <v/>
      </c>
      <c r="AB69" s="170">
        <f t="array" ref="AB69">IF(AA69="", "", _xlfn.IFS(AA69&gt;=90, "A", AA69&gt;=80, "B", AA69&gt;=75, "C", AA69&gt;=65, "D", AA69&gt;=0, "E"))</f>
        <v/>
      </c>
      <c r="AD69" s="39" t="n"/>
      <c r="AG69" s="38" t="n"/>
      <c r="AH69" s="38" t="n"/>
      <c r="AI69" s="38" t="n"/>
    </row>
    <row r="70" ht="18" customHeight="1">
      <c r="A70" s="169" t="n">
        <v>7</v>
      </c>
      <c r="B70" s="442">
        <f>'INPUT DATA'!O17</f>
        <v/>
      </c>
      <c r="C70" s="673" t="n"/>
      <c r="D70" s="673" t="n"/>
      <c r="E70" s="674" t="n"/>
      <c r="F70" s="52" t="n"/>
      <c r="G70" s="49" t="n"/>
      <c r="H70" s="49" t="n"/>
      <c r="I70" s="49" t="n"/>
      <c r="J70" s="49" t="n"/>
      <c r="K70" s="48">
        <f>IF(COUNT($F70:$J70)=0,"",SUM($F70:$J70))</f>
        <v/>
      </c>
      <c r="L70" s="47">
        <f>IFERROR(IF(K70="","",ROUND(K70/$K$11*100,2)),"")</f>
        <v/>
      </c>
      <c r="M70" s="54">
        <f>IFERROR(IF(L70="","",ROUND(L70*$M$11,2)),"")</f>
        <v/>
      </c>
      <c r="N70" s="52" t="n"/>
      <c r="O70" s="49" t="n"/>
      <c r="P70" s="49" t="n"/>
      <c r="Q70" s="48">
        <f>IF(COUNT($N70:$P70)=0,"",SUM($N70:$P70))</f>
        <v/>
      </c>
      <c r="R70" s="47">
        <f>IFERROR(IF(Q70="","",ROUND(Q70/$Q$11*100,2)),"")</f>
        <v/>
      </c>
      <c r="S70" s="54">
        <f>IFERROR(IF(R70="","",ROUND(R70*$S$11,2)),"")</f>
        <v/>
      </c>
      <c r="T70" s="265" t="n"/>
      <c r="U70" s="46" t="n"/>
      <c r="V70" s="268" t="n"/>
      <c r="W70" s="272">
        <f>IF(COUNT($T70:$V70)=0,"",SUM($T70:$V70))</f>
        <v/>
      </c>
      <c r="X70" s="352">
        <f>IFERROR(IF(W70="","",ROUND((($T70/$T$11)*30 + ($U70/$U$11)*30 + ($V70/$V$11)*40),2)),"")</f>
        <v/>
      </c>
      <c r="Y70" s="54">
        <f>IFERROR(IF(X70="","",ROUND(X70*$Y$11,2)),"")</f>
        <v/>
      </c>
      <c r="Z70" s="55">
        <f>IFERROR(M70+S70+Y70,"")</f>
        <v/>
      </c>
      <c r="AA70" s="274">
        <f>IFERROR(VLOOKUP(Z70,'Helper(IMPORTANT!)'!$CQ$1:$CR$41,2,TRUE),"")</f>
        <v/>
      </c>
      <c r="AB70" s="170">
        <f t="array" ref="AB70">IF(AA70="", "", _xlfn.IFS(AA70&gt;=90, "A", AA70&gt;=80, "B", AA70&gt;=75, "C", AA70&gt;=65, "D", AA70&gt;=0, "E"))</f>
        <v/>
      </c>
      <c r="AD70" s="39" t="n"/>
      <c r="AG70" s="38" t="n"/>
      <c r="AH70" s="38" t="n"/>
      <c r="AI70" s="38" t="n"/>
    </row>
    <row r="71" ht="18" customHeight="1">
      <c r="A71" s="169" t="n">
        <v>8</v>
      </c>
      <c r="B71" s="442">
        <f>'INPUT DATA'!O18</f>
        <v/>
      </c>
      <c r="C71" s="673" t="n"/>
      <c r="D71" s="673" t="n"/>
      <c r="E71" s="674" t="n"/>
      <c r="F71" s="52" t="n"/>
      <c r="G71" s="49" t="n"/>
      <c r="H71" s="49" t="n"/>
      <c r="I71" s="49" t="n"/>
      <c r="J71" s="49" t="n"/>
      <c r="K71" s="48">
        <f>IF(COUNT($F71:$J71)=0,"",SUM($F71:$J71))</f>
        <v/>
      </c>
      <c r="L71" s="47">
        <f>IFERROR(IF(K71="","",ROUND(K71/$K$11*100,2)),"")</f>
        <v/>
      </c>
      <c r="M71" s="54">
        <f>IFERROR(IF(L71="","",ROUND(L71*$M$11,2)),"")</f>
        <v/>
      </c>
      <c r="N71" s="52" t="n"/>
      <c r="O71" s="49" t="n"/>
      <c r="P71" s="49" t="n"/>
      <c r="Q71" s="48">
        <f>IF(COUNT($N71:$P71)=0,"",SUM($N71:$P71))</f>
        <v/>
      </c>
      <c r="R71" s="47">
        <f>IFERROR(IF(Q71="","",ROUND(Q71/$Q$11*100,2)),"")</f>
        <v/>
      </c>
      <c r="S71" s="54">
        <f>IFERROR(IF(R71="","",ROUND(R71*$S$11,2)),"")</f>
        <v/>
      </c>
      <c r="T71" s="265" t="n"/>
      <c r="U71" s="46" t="n"/>
      <c r="V71" s="268" t="n"/>
      <c r="W71" s="272">
        <f>IF(COUNT($T71:$V71)=0,"",SUM($T71:$V71))</f>
        <v/>
      </c>
      <c r="X71" s="352">
        <f>IFERROR(IF(W71="","",ROUND((($T71/$T$11)*30 + ($U71/$U$11)*30 + ($V71/$V$11)*40),2)),"")</f>
        <v/>
      </c>
      <c r="Y71" s="54">
        <f>IFERROR(IF(X71="","",ROUND(X71*$Y$11,2)),"")</f>
        <v/>
      </c>
      <c r="Z71" s="55">
        <f>IFERROR(M71+S71+Y71,"")</f>
        <v/>
      </c>
      <c r="AA71" s="274">
        <f>IFERROR(VLOOKUP(Z71,'Helper(IMPORTANT!)'!$CQ$1:$CR$41,2,TRUE),"")</f>
        <v/>
      </c>
      <c r="AB71" s="170">
        <f t="array" ref="AB71">IF(AA71="", "", _xlfn.IFS(AA71&gt;=90, "A", AA71&gt;=80, "B", AA71&gt;=75, "C", AA71&gt;=65, "D", AA71&gt;=0, "E"))</f>
        <v/>
      </c>
      <c r="AD71" s="39" t="n"/>
      <c r="AG71" s="38" t="n"/>
      <c r="AH71" s="38" t="n"/>
      <c r="AI71" s="38" t="n"/>
    </row>
    <row r="72" ht="18" customHeight="1">
      <c r="A72" s="169" t="n">
        <v>9</v>
      </c>
      <c r="B72" s="442">
        <f>'INPUT DATA'!O19</f>
        <v/>
      </c>
      <c r="C72" s="673" t="n"/>
      <c r="D72" s="673" t="n"/>
      <c r="E72" s="674" t="n"/>
      <c r="F72" s="52" t="n"/>
      <c r="G72" s="49" t="n"/>
      <c r="H72" s="49" t="n"/>
      <c r="I72" s="49" t="n"/>
      <c r="J72" s="49" t="n"/>
      <c r="K72" s="48">
        <f>IF(COUNT($F72:$J72)=0,"",SUM($F72:$J72))</f>
        <v/>
      </c>
      <c r="L72" s="47">
        <f>IFERROR(IF(K72="","",ROUND(K72/$K$11*100,2)),"")</f>
        <v/>
      </c>
      <c r="M72" s="54">
        <f>IFERROR(IF(L72="","",ROUND(L72*$M$11,2)),"")</f>
        <v/>
      </c>
      <c r="N72" s="52" t="n"/>
      <c r="O72" s="49" t="n"/>
      <c r="P72" s="49" t="n"/>
      <c r="Q72" s="48">
        <f>IF(COUNT($N72:$P72)=0,"",SUM($N72:$P72))</f>
        <v/>
      </c>
      <c r="R72" s="47">
        <f>IFERROR(IF(Q72="","",ROUND(Q72/$Q$11*100,2)),"")</f>
        <v/>
      </c>
      <c r="S72" s="54">
        <f>IFERROR(IF(R72="","",ROUND(R72*$S$11,2)),"")</f>
        <v/>
      </c>
      <c r="T72" s="265" t="n"/>
      <c r="U72" s="46" t="n"/>
      <c r="V72" s="268" t="n"/>
      <c r="W72" s="272">
        <f>IF(COUNT($T72:$V72)=0,"",SUM($T72:$V72))</f>
        <v/>
      </c>
      <c r="X72" s="352">
        <f>IFERROR(IF(W72="","",ROUND((($T72/$T$11)*30 + ($U72/$U$11)*30 + ($V72/$V$11)*40),2)),"")</f>
        <v/>
      </c>
      <c r="Y72" s="54">
        <f>IFERROR(IF(X72="","",ROUND(X72*$Y$11,2)),"")</f>
        <v/>
      </c>
      <c r="Z72" s="55">
        <f>IFERROR(M72+S72+Y72,"")</f>
        <v/>
      </c>
      <c r="AA72" s="274">
        <f>IFERROR(VLOOKUP(Z72,'Helper(IMPORTANT!)'!$CQ$1:$CR$41,2,TRUE),"")</f>
        <v/>
      </c>
      <c r="AB72" s="170">
        <f t="array" ref="AB72">IF(AA72="", "", _xlfn.IFS(AA72&gt;=90, "A", AA72&gt;=80, "B", AA72&gt;=75, "C", AA72&gt;=65, "D", AA72&gt;=0, "E"))</f>
        <v/>
      </c>
      <c r="AD72" s="39" t="n"/>
      <c r="AG72" s="38" t="n"/>
      <c r="AH72" s="38" t="n"/>
      <c r="AI72" s="38" t="n"/>
    </row>
    <row r="73" ht="18" customHeight="1">
      <c r="A73" s="169" t="n">
        <v>10</v>
      </c>
      <c r="B73" s="442">
        <f>'INPUT DATA'!O20</f>
        <v/>
      </c>
      <c r="C73" s="673" t="n"/>
      <c r="D73" s="673" t="n"/>
      <c r="E73" s="674" t="n"/>
      <c r="F73" s="52" t="n"/>
      <c r="G73" s="49" t="n"/>
      <c r="H73" s="49" t="n"/>
      <c r="I73" s="49" t="n"/>
      <c r="J73" s="49" t="n"/>
      <c r="K73" s="48">
        <f>IF(COUNT($F73:$J73)=0,"",SUM($F73:$J73))</f>
        <v/>
      </c>
      <c r="L73" s="47">
        <f>IFERROR(IF(K73="","",ROUND(K73/$K$11*100,2)),"")</f>
        <v/>
      </c>
      <c r="M73" s="54">
        <f>IFERROR(IF(L73="","",ROUND(L73*$M$11,2)),"")</f>
        <v/>
      </c>
      <c r="N73" s="52" t="n"/>
      <c r="O73" s="49" t="n"/>
      <c r="P73" s="49" t="n"/>
      <c r="Q73" s="48">
        <f>IF(COUNT($N73:$P73)=0,"",SUM($N73:$P73))</f>
        <v/>
      </c>
      <c r="R73" s="47">
        <f>IFERROR(IF(Q73="","",ROUND(Q73/$Q$11*100,2)),"")</f>
        <v/>
      </c>
      <c r="S73" s="54">
        <f>IFERROR(IF(R73="","",ROUND(R73*$S$11,2)),"")</f>
        <v/>
      </c>
      <c r="T73" s="265" t="n"/>
      <c r="U73" s="46" t="n"/>
      <c r="V73" s="268" t="n"/>
      <c r="W73" s="272">
        <f>IF(COUNT($T73:$V73)=0,"",SUM($T73:$V73))</f>
        <v/>
      </c>
      <c r="X73" s="352">
        <f>IFERROR(IF(W73="","",ROUND((($T73/$T$11)*30 + ($U73/$U$11)*30 + ($V73/$V$11)*40),2)),"")</f>
        <v/>
      </c>
      <c r="Y73" s="54">
        <f>IFERROR(IF(X73="","",ROUND(X73*$Y$11,2)),"")</f>
        <v/>
      </c>
      <c r="Z73" s="55">
        <f>IFERROR(M73+S73+Y73,"")</f>
        <v/>
      </c>
      <c r="AA73" s="274">
        <f>IFERROR(VLOOKUP(Z73,'Helper(IMPORTANT!)'!$CQ$1:$CR$41,2,TRUE),"")</f>
        <v/>
      </c>
      <c r="AB73" s="170">
        <f t="array" ref="AB73">IF(AA73="", "", _xlfn.IFS(AA73&gt;=90, "A", AA73&gt;=80, "B", AA73&gt;=75, "C", AA73&gt;=65, "D", AA73&gt;=0, "E"))</f>
        <v/>
      </c>
      <c r="AD73" s="39" t="n"/>
      <c r="AG73" s="38" t="n"/>
      <c r="AH73" s="38" t="n"/>
      <c r="AI73" s="38" t="n"/>
    </row>
    <row r="74" ht="18" customHeight="1">
      <c r="A74" s="169" t="n">
        <v>11</v>
      </c>
      <c r="B74" s="442">
        <f>'INPUT DATA'!O21</f>
        <v/>
      </c>
      <c r="C74" s="673" t="n"/>
      <c r="D74" s="673" t="n"/>
      <c r="E74" s="674" t="n"/>
      <c r="F74" s="52" t="n"/>
      <c r="G74" s="49" t="n"/>
      <c r="H74" s="49" t="n"/>
      <c r="I74" s="49" t="n"/>
      <c r="J74" s="49" t="n"/>
      <c r="K74" s="48">
        <f>IF(COUNT($F74:$J74)=0,"",SUM($F74:$J74))</f>
        <v/>
      </c>
      <c r="L74" s="47">
        <f>IFERROR(IF(K74="","",ROUND(K74/$K$11*100,2)),"")</f>
        <v/>
      </c>
      <c r="M74" s="54">
        <f>IFERROR(IF(L74="","",ROUND(L74*$M$11,2)),"")</f>
        <v/>
      </c>
      <c r="N74" s="52" t="n"/>
      <c r="O74" s="49" t="n"/>
      <c r="P74" s="49" t="n"/>
      <c r="Q74" s="48">
        <f>IF(COUNT($N74:$P74)=0,"",SUM($N74:$P74))</f>
        <v/>
      </c>
      <c r="R74" s="47">
        <f>IFERROR(IF(Q74="","",ROUND(Q74/$Q$11*100,2)),"")</f>
        <v/>
      </c>
      <c r="S74" s="54">
        <f>IFERROR(IF(R74="","",ROUND(R74*$S$11,2)),"")</f>
        <v/>
      </c>
      <c r="T74" s="265" t="n"/>
      <c r="U74" s="46" t="n"/>
      <c r="V74" s="268" t="n"/>
      <c r="W74" s="272">
        <f>IF(COUNT($T74:$V74)=0,"",SUM($T74:$V74))</f>
        <v/>
      </c>
      <c r="X74" s="352">
        <f>IFERROR(IF(W74="","",ROUND((($T74/$T$11)*30 + ($U74/$U$11)*30 + ($V74/$V$11)*40),2)),"")</f>
        <v/>
      </c>
      <c r="Y74" s="54">
        <f>IFERROR(IF(X74="","",ROUND(X74*$Y$11,2)),"")</f>
        <v/>
      </c>
      <c r="Z74" s="55">
        <f>IFERROR(M74+S74+Y74,"")</f>
        <v/>
      </c>
      <c r="AA74" s="274">
        <f>IFERROR(VLOOKUP(Z74,'Helper(IMPORTANT!)'!$CQ$1:$CR$41,2,TRUE),"")</f>
        <v/>
      </c>
      <c r="AB74" s="170">
        <f t="array" ref="AB74">IF(AA74="", "", _xlfn.IFS(AA74&gt;=90, "A", AA74&gt;=80, "B", AA74&gt;=75, "C", AA74&gt;=65, "D", AA74&gt;=0, "E"))</f>
        <v/>
      </c>
      <c r="AD74" s="39" t="n"/>
      <c r="AG74" s="38" t="n"/>
      <c r="AH74" s="38" t="n"/>
      <c r="AI74" s="38" t="n"/>
    </row>
    <row r="75" ht="18" customHeight="1">
      <c r="A75" s="169" t="n">
        <v>12</v>
      </c>
      <c r="B75" s="442">
        <f>'INPUT DATA'!O22</f>
        <v/>
      </c>
      <c r="C75" s="673" t="n"/>
      <c r="D75" s="673" t="n"/>
      <c r="E75" s="674" t="n"/>
      <c r="F75" s="52" t="n"/>
      <c r="G75" s="49" t="n"/>
      <c r="H75" s="49" t="n"/>
      <c r="I75" s="49" t="n"/>
      <c r="J75" s="49" t="n"/>
      <c r="K75" s="48">
        <f>IF(COUNT($F75:$J75)=0,"",SUM($F75:$J75))</f>
        <v/>
      </c>
      <c r="L75" s="47">
        <f>IFERROR(IF(K75="","",ROUND(K75/$K$11*100,2)),"")</f>
        <v/>
      </c>
      <c r="M75" s="54">
        <f>IFERROR(IF(L75="","",ROUND(L75*$M$11,2)),"")</f>
        <v/>
      </c>
      <c r="N75" s="52" t="n"/>
      <c r="O75" s="49" t="n"/>
      <c r="P75" s="49" t="n"/>
      <c r="Q75" s="48">
        <f>IF(COUNT($N75:$P75)=0,"",SUM($N75:$P75))</f>
        <v/>
      </c>
      <c r="R75" s="47">
        <f>IFERROR(IF(Q75="","",ROUND(Q75/$Q$11*100,2)),"")</f>
        <v/>
      </c>
      <c r="S75" s="54">
        <f>IFERROR(IF(R75="","",ROUND(R75*$S$11,2)),"")</f>
        <v/>
      </c>
      <c r="T75" s="265" t="n"/>
      <c r="U75" s="46" t="n"/>
      <c r="V75" s="268" t="n"/>
      <c r="W75" s="272">
        <f>IF(COUNT($T75:$V75)=0,"",SUM($T75:$V75))</f>
        <v/>
      </c>
      <c r="X75" s="352">
        <f>IFERROR(IF(W75="","",ROUND((($T75/$T$11)*30 + ($U75/$U$11)*30 + ($V75/$V$11)*40),2)),"")</f>
        <v/>
      </c>
      <c r="Y75" s="54">
        <f>IFERROR(IF(X75="","",ROUND(X75*$Y$11,2)),"")</f>
        <v/>
      </c>
      <c r="Z75" s="55">
        <f>IFERROR(M75+S75+Y75,"")</f>
        <v/>
      </c>
      <c r="AA75" s="274">
        <f>IFERROR(VLOOKUP(Z75,'Helper(IMPORTANT!)'!$CQ$1:$CR$41,2,TRUE),"")</f>
        <v/>
      </c>
      <c r="AB75" s="170">
        <f t="array" ref="AB75">IF(AA75="", "", _xlfn.IFS(AA75&gt;=90, "A", AA75&gt;=80, "B", AA75&gt;=75, "C", AA75&gt;=65, "D", AA75&gt;=0, "E"))</f>
        <v/>
      </c>
      <c r="AD75" s="39" t="n"/>
      <c r="AG75" s="38" t="n"/>
      <c r="AH75" s="38" t="n"/>
      <c r="AI75" s="38" t="n"/>
    </row>
    <row r="76" ht="18" customHeight="1">
      <c r="A76" s="169" t="n">
        <v>13</v>
      </c>
      <c r="B76" s="442">
        <f>'INPUT DATA'!O23</f>
        <v/>
      </c>
      <c r="C76" s="673" t="n"/>
      <c r="D76" s="673" t="n"/>
      <c r="E76" s="674" t="n"/>
      <c r="F76" s="52" t="n"/>
      <c r="G76" s="49" t="n"/>
      <c r="H76" s="49" t="n"/>
      <c r="I76" s="49" t="n"/>
      <c r="J76" s="49" t="n"/>
      <c r="K76" s="48">
        <f>IF(COUNT($F76:$J76)=0,"",SUM($F76:$J76))</f>
        <v/>
      </c>
      <c r="L76" s="47">
        <f>IFERROR(IF(K76="","",ROUND(K76/$K$11*100,2)),"")</f>
        <v/>
      </c>
      <c r="M76" s="54">
        <f>IFERROR(IF(L76="","",ROUND(L76*$M$11,2)),"")</f>
        <v/>
      </c>
      <c r="N76" s="52" t="n"/>
      <c r="O76" s="49" t="n"/>
      <c r="P76" s="49" t="n"/>
      <c r="Q76" s="48">
        <f>IF(COUNT($N76:$P76)=0,"",SUM($N76:$P76))</f>
        <v/>
      </c>
      <c r="R76" s="47">
        <f>IFERROR(IF(Q76="","",ROUND(Q76/$Q$11*100,2)),"")</f>
        <v/>
      </c>
      <c r="S76" s="54">
        <f>IFERROR(IF(R76="","",ROUND(R76*$S$11,2)),"")</f>
        <v/>
      </c>
      <c r="T76" s="265" t="n"/>
      <c r="U76" s="46" t="n"/>
      <c r="V76" s="268" t="n"/>
      <c r="W76" s="272">
        <f>IF(COUNT($T76:$V76)=0,"",SUM($T76:$V76))</f>
        <v/>
      </c>
      <c r="X76" s="352">
        <f>IFERROR(IF(W76="","",ROUND((($T76/$T$11)*30 + ($U76/$U$11)*30 + ($V76/$V$11)*40),2)),"")</f>
        <v/>
      </c>
      <c r="Y76" s="54">
        <f>IFERROR(IF(X76="","",ROUND(X76*$Y$11,2)),"")</f>
        <v/>
      </c>
      <c r="Z76" s="55">
        <f>IFERROR(M76+S76+Y76,"")</f>
        <v/>
      </c>
      <c r="AA76" s="274">
        <f>IFERROR(VLOOKUP(Z76,'Helper(IMPORTANT!)'!$CQ$1:$CR$41,2,TRUE),"")</f>
        <v/>
      </c>
      <c r="AB76" s="170">
        <f t="array" ref="AB76">IF(AA76="", "", _xlfn.IFS(AA76&gt;=90, "A", AA76&gt;=80, "B", AA76&gt;=75, "C", AA76&gt;=65, "D", AA76&gt;=0, "E"))</f>
        <v/>
      </c>
      <c r="AD76" s="39" t="n"/>
      <c r="AG76" s="38" t="n"/>
      <c r="AH76" s="38" t="n"/>
      <c r="AI76" s="38" t="n"/>
    </row>
    <row r="77" ht="18" customHeight="1">
      <c r="A77" s="169" t="n">
        <v>14</v>
      </c>
      <c r="B77" s="442">
        <f>'INPUT DATA'!O24</f>
        <v/>
      </c>
      <c r="C77" s="673" t="n"/>
      <c r="D77" s="673" t="n"/>
      <c r="E77" s="674" t="n"/>
      <c r="F77" s="52" t="n"/>
      <c r="G77" s="49" t="n"/>
      <c r="H77" s="49" t="n"/>
      <c r="I77" s="49" t="n"/>
      <c r="J77" s="49" t="n"/>
      <c r="K77" s="48">
        <f>IF(COUNT($F77:$J77)=0,"",SUM($F77:$J77))</f>
        <v/>
      </c>
      <c r="L77" s="47">
        <f>IFERROR(IF(K77="","",ROUND(K77/$K$11*100,2)),"")</f>
        <v/>
      </c>
      <c r="M77" s="54">
        <f>IFERROR(IF(L77="","",ROUND(L77*$M$11,2)),"")</f>
        <v/>
      </c>
      <c r="N77" s="52" t="n"/>
      <c r="O77" s="49" t="n"/>
      <c r="P77" s="49" t="n"/>
      <c r="Q77" s="48">
        <f>IF(COUNT($N77:$P77)=0,"",SUM($N77:$P77))</f>
        <v/>
      </c>
      <c r="R77" s="47">
        <f>IFERROR(IF(Q77="","",ROUND(Q77/$Q$11*100,2)),"")</f>
        <v/>
      </c>
      <c r="S77" s="54">
        <f>IFERROR(IF(R77="","",ROUND(R77*$S$11,2)),"")</f>
        <v/>
      </c>
      <c r="T77" s="265" t="n"/>
      <c r="U77" s="46" t="n"/>
      <c r="V77" s="268" t="n"/>
      <c r="W77" s="272">
        <f>IF(COUNT($T77:$V77)=0,"",SUM($T77:$V77))</f>
        <v/>
      </c>
      <c r="X77" s="352">
        <f>IFERROR(IF(W77="","",ROUND((($T77/$T$11)*30 + ($U77/$U$11)*30 + ($V77/$V$11)*40),2)),"")</f>
        <v/>
      </c>
      <c r="Y77" s="54">
        <f>IFERROR(IF(X77="","",ROUND(X77*$Y$11,2)),"")</f>
        <v/>
      </c>
      <c r="Z77" s="55">
        <f>IFERROR(M77+S77+Y77,"")</f>
        <v/>
      </c>
      <c r="AA77" s="274">
        <f>IFERROR(VLOOKUP(Z77,'Helper(IMPORTANT!)'!$CQ$1:$CR$41,2,TRUE),"")</f>
        <v/>
      </c>
      <c r="AB77" s="170">
        <f t="array" ref="AB77">IF(AA77="", "", _xlfn.IFS(AA77&gt;=90, "A", AA77&gt;=80, "B", AA77&gt;=75, "C", AA77&gt;=65, "D", AA77&gt;=0, "E"))</f>
        <v/>
      </c>
      <c r="AD77" s="39" t="n"/>
      <c r="AG77" s="38" t="n"/>
      <c r="AH77" s="38" t="n"/>
      <c r="AI77" s="38" t="n"/>
    </row>
    <row r="78" ht="18" customHeight="1">
      <c r="A78" s="169" t="n">
        <v>15</v>
      </c>
      <c r="B78" s="442">
        <f>'INPUT DATA'!O25</f>
        <v/>
      </c>
      <c r="C78" s="673" t="n"/>
      <c r="D78" s="673" t="n"/>
      <c r="E78" s="674" t="n"/>
      <c r="F78" s="52" t="n"/>
      <c r="G78" s="49" t="n"/>
      <c r="H78" s="49" t="n"/>
      <c r="I78" s="49" t="n"/>
      <c r="J78" s="49" t="n"/>
      <c r="K78" s="48">
        <f>IF(COUNT($F78:$J78)=0,"",SUM($F78:$J78))</f>
        <v/>
      </c>
      <c r="L78" s="47">
        <f>IFERROR(IF(K78="","",ROUND(K78/$K$11*100,2)),"")</f>
        <v/>
      </c>
      <c r="M78" s="54">
        <f>IFERROR(IF(L78="","",ROUND(L78*$M$11,2)),"")</f>
        <v/>
      </c>
      <c r="N78" s="52" t="n"/>
      <c r="O78" s="49" t="n"/>
      <c r="P78" s="49" t="n"/>
      <c r="Q78" s="48">
        <f>IF(COUNT($N78:$P78)=0,"",SUM($N78:$P78))</f>
        <v/>
      </c>
      <c r="R78" s="47">
        <f>IFERROR(IF(Q78="","",ROUND(Q78/$Q$11*100,2)),"")</f>
        <v/>
      </c>
      <c r="S78" s="54">
        <f>IFERROR(IF(R78="","",ROUND(R78*$S$11,2)),"")</f>
        <v/>
      </c>
      <c r="T78" s="265" t="n"/>
      <c r="U78" s="46" t="n"/>
      <c r="V78" s="268" t="n"/>
      <c r="W78" s="272">
        <f>IF(COUNT($T78:$V78)=0,"",SUM($T78:$V78))</f>
        <v/>
      </c>
      <c r="X78" s="352">
        <f>IFERROR(IF(W78="","",ROUND((($T78/$T$11)*30 + ($U78/$U$11)*30 + ($V78/$V$11)*40),2)),"")</f>
        <v/>
      </c>
      <c r="Y78" s="54">
        <f>IFERROR(IF(X78="","",ROUND(X78*$Y$11,2)),"")</f>
        <v/>
      </c>
      <c r="Z78" s="55">
        <f>IFERROR(M78+S78+Y78,"")</f>
        <v/>
      </c>
      <c r="AA78" s="274">
        <f>IFERROR(VLOOKUP(Z78,'Helper(IMPORTANT!)'!$CQ$1:$CR$41,2,TRUE),"")</f>
        <v/>
      </c>
      <c r="AB78" s="170">
        <f t="array" ref="AB78">IF(AA78="", "", _xlfn.IFS(AA78&gt;=90, "A", AA78&gt;=80, "B", AA78&gt;=75, "C", AA78&gt;=65, "D", AA78&gt;=0, "E"))</f>
        <v/>
      </c>
      <c r="AD78" s="39" t="n"/>
      <c r="AG78" s="38" t="n"/>
      <c r="AH78" s="38" t="n"/>
      <c r="AI78" s="38" t="n"/>
    </row>
    <row r="79" ht="18" customHeight="1">
      <c r="A79" s="169" t="n">
        <v>16</v>
      </c>
      <c r="B79" s="442">
        <f>'INPUT DATA'!O26</f>
        <v/>
      </c>
      <c r="C79" s="673" t="n"/>
      <c r="D79" s="673" t="n"/>
      <c r="E79" s="674" t="n"/>
      <c r="F79" s="52" t="n"/>
      <c r="G79" s="49" t="n"/>
      <c r="H79" s="49" t="n"/>
      <c r="I79" s="49" t="n"/>
      <c r="J79" s="49" t="n"/>
      <c r="K79" s="48">
        <f>IF(COUNT($F79:$J79)=0,"",SUM($F79:$J79))</f>
        <v/>
      </c>
      <c r="L79" s="47">
        <f>IFERROR(IF(K79="","",ROUND(K79/$K$11*100,2)),"")</f>
        <v/>
      </c>
      <c r="M79" s="54">
        <f>IFERROR(IF(L79="","",ROUND(L79*$M$11,2)),"")</f>
        <v/>
      </c>
      <c r="N79" s="52" t="n"/>
      <c r="O79" s="49" t="n"/>
      <c r="P79" s="49" t="n"/>
      <c r="Q79" s="48">
        <f>IF(COUNT($N79:$P79)=0,"",SUM($N79:$P79))</f>
        <v/>
      </c>
      <c r="R79" s="47">
        <f>IFERROR(IF(Q79="","",ROUND(Q79/$Q$11*100,2)),"")</f>
        <v/>
      </c>
      <c r="S79" s="54">
        <f>IFERROR(IF(R79="","",ROUND(R79*$S$11,2)),"")</f>
        <v/>
      </c>
      <c r="T79" s="265" t="n"/>
      <c r="U79" s="46" t="n"/>
      <c r="V79" s="268" t="n"/>
      <c r="W79" s="272">
        <f>IF(COUNT($T79:$V79)=0,"",SUM($T79:$V79))</f>
        <v/>
      </c>
      <c r="X79" s="352">
        <f>IFERROR(IF(W79="","",ROUND((($T79/$T$11)*30 + ($U79/$U$11)*30 + ($V79/$V$11)*40),2)),"")</f>
        <v/>
      </c>
      <c r="Y79" s="54">
        <f>IFERROR(IF(X79="","",ROUND(X79*$Y$11,2)),"")</f>
        <v/>
      </c>
      <c r="Z79" s="55">
        <f>IFERROR(M79+S79+Y79,"")</f>
        <v/>
      </c>
      <c r="AA79" s="274">
        <f>IFERROR(VLOOKUP(Z79,'Helper(IMPORTANT!)'!$CQ$1:$CR$41,2,TRUE),"")</f>
        <v/>
      </c>
      <c r="AB79" s="170">
        <f t="array" ref="AB79">IF(AA79="", "", _xlfn.IFS(AA79&gt;=90, "A", AA79&gt;=80, "B", AA79&gt;=75, "C", AA79&gt;=65, "D", AA79&gt;=0, "E"))</f>
        <v/>
      </c>
      <c r="AD79" s="39" t="n"/>
      <c r="AG79" s="38" t="n"/>
      <c r="AH79" s="38" t="n"/>
      <c r="AI79" s="38" t="n"/>
    </row>
    <row r="80" ht="18" customHeight="1">
      <c r="A80" s="169" t="n">
        <v>17</v>
      </c>
      <c r="B80" s="442">
        <f>'INPUT DATA'!O27</f>
        <v/>
      </c>
      <c r="C80" s="673" t="n"/>
      <c r="D80" s="673" t="n"/>
      <c r="E80" s="674" t="n"/>
      <c r="F80" s="52" t="n"/>
      <c r="G80" s="49" t="n"/>
      <c r="H80" s="49" t="n"/>
      <c r="I80" s="49" t="n"/>
      <c r="J80" s="49" t="n"/>
      <c r="K80" s="48">
        <f>IF(COUNT($F80:$J80)=0,"",SUM($F80:$J80))</f>
        <v/>
      </c>
      <c r="L80" s="47">
        <f>IFERROR(IF(K80="","",ROUND(K80/$K$11*100,2)),"")</f>
        <v/>
      </c>
      <c r="M80" s="54">
        <f>IFERROR(IF(L80="","",ROUND(L80*$M$11,2)),"")</f>
        <v/>
      </c>
      <c r="N80" s="52" t="n"/>
      <c r="O80" s="49" t="n"/>
      <c r="P80" s="49" t="n"/>
      <c r="Q80" s="48">
        <f>IF(COUNT($N80:$P80)=0,"",SUM($N80:$P80))</f>
        <v/>
      </c>
      <c r="R80" s="47">
        <f>IFERROR(IF(Q80="","",ROUND(Q80/$Q$11*100,2)),"")</f>
        <v/>
      </c>
      <c r="S80" s="54">
        <f>IFERROR(IF(R80="","",ROUND(R80*$S$11,2)),"")</f>
        <v/>
      </c>
      <c r="T80" s="265" t="n"/>
      <c r="U80" s="46" t="n"/>
      <c r="V80" s="268" t="n"/>
      <c r="W80" s="272">
        <f>IF(COUNT($T80:$V80)=0,"",SUM($T80:$V80))</f>
        <v/>
      </c>
      <c r="X80" s="352">
        <f>IFERROR(IF(W80="","",ROUND((($T80/$T$11)*30 + ($U80/$U$11)*30 + ($V80/$V$11)*40),2)),"")</f>
        <v/>
      </c>
      <c r="Y80" s="54">
        <f>IFERROR(IF(X80="","",ROUND(X80*$Y$11,2)),"")</f>
        <v/>
      </c>
      <c r="Z80" s="55">
        <f>IFERROR(M80+S80+Y80,"")</f>
        <v/>
      </c>
      <c r="AA80" s="274">
        <f>IFERROR(VLOOKUP(Z80,'Helper(IMPORTANT!)'!$CQ$1:$CR$41,2,TRUE),"")</f>
        <v/>
      </c>
      <c r="AB80" s="170">
        <f t="array" ref="AB80">IF(AA80="", "", _xlfn.IFS(AA80&gt;=90, "A", AA80&gt;=80, "B", AA80&gt;=75, "C", AA80&gt;=65, "D", AA80&gt;=0, "E"))</f>
        <v/>
      </c>
      <c r="AD80" s="39" t="n"/>
      <c r="AG80" s="38" t="n"/>
      <c r="AH80" s="38" t="n"/>
      <c r="AI80" s="38" t="n"/>
    </row>
    <row r="81" ht="18" customHeight="1">
      <c r="A81" s="169" t="n">
        <v>18</v>
      </c>
      <c r="B81" s="442">
        <f>'INPUT DATA'!O28</f>
        <v/>
      </c>
      <c r="C81" s="673" t="n"/>
      <c r="D81" s="673" t="n"/>
      <c r="E81" s="674" t="n"/>
      <c r="F81" s="52" t="n"/>
      <c r="G81" s="49" t="n"/>
      <c r="H81" s="49" t="n"/>
      <c r="I81" s="49" t="n"/>
      <c r="J81" s="49" t="n"/>
      <c r="K81" s="48">
        <f>IF(COUNT($F81:$J81)=0,"",SUM($F81:$J81))</f>
        <v/>
      </c>
      <c r="L81" s="47">
        <f>IFERROR(IF(K81="","",ROUND(K81/$K$11*100,2)),"")</f>
        <v/>
      </c>
      <c r="M81" s="54">
        <f>IFERROR(IF(L81="","",ROUND(L81*$M$11,2)),"")</f>
        <v/>
      </c>
      <c r="N81" s="52" t="n"/>
      <c r="O81" s="49" t="n"/>
      <c r="P81" s="49" t="n"/>
      <c r="Q81" s="48">
        <f>IF(COUNT($N81:$P81)=0,"",SUM($N81:$P81))</f>
        <v/>
      </c>
      <c r="R81" s="47">
        <f>IFERROR(IF(Q81="","",ROUND(Q81/$Q$11*100,2)),"")</f>
        <v/>
      </c>
      <c r="S81" s="54">
        <f>IFERROR(IF(R81="","",ROUND(R81*$S$11,2)),"")</f>
        <v/>
      </c>
      <c r="T81" s="265" t="n"/>
      <c r="U81" s="46" t="n"/>
      <c r="V81" s="268" t="n"/>
      <c r="W81" s="272">
        <f>IF(COUNT($T81:$V81)=0,"",SUM($T81:$V81))</f>
        <v/>
      </c>
      <c r="X81" s="352">
        <f>IFERROR(IF(W81="","",ROUND((($T81/$T$11)*30 + ($U81/$U$11)*30 + ($V81/$V$11)*40),2)),"")</f>
        <v/>
      </c>
      <c r="Y81" s="54">
        <f>IFERROR(IF(X81="","",ROUND(X81*$Y$11,2)),"")</f>
        <v/>
      </c>
      <c r="Z81" s="55">
        <f>IFERROR(M81+S81+Y81,"")</f>
        <v/>
      </c>
      <c r="AA81" s="274">
        <f>IFERROR(VLOOKUP(Z81,'Helper(IMPORTANT!)'!$CQ$1:$CR$41,2,TRUE),"")</f>
        <v/>
      </c>
      <c r="AB81" s="170">
        <f t="array" ref="AB81">IF(AA81="", "", _xlfn.IFS(AA81&gt;=90, "A", AA81&gt;=80, "B", AA81&gt;=75, "C", AA81&gt;=65, "D", AA81&gt;=0, "E"))</f>
        <v/>
      </c>
      <c r="AD81" s="39" t="n"/>
      <c r="AG81" s="38" t="n"/>
      <c r="AH81" s="38" t="n"/>
      <c r="AI81" s="38" t="n"/>
    </row>
    <row r="82" ht="18" customHeight="1">
      <c r="A82" s="169" t="n">
        <v>19</v>
      </c>
      <c r="B82" s="442">
        <f>'INPUT DATA'!O29</f>
        <v/>
      </c>
      <c r="C82" s="673" t="n"/>
      <c r="D82" s="673" t="n"/>
      <c r="E82" s="674" t="n"/>
      <c r="F82" s="52" t="n"/>
      <c r="G82" s="49" t="n"/>
      <c r="H82" s="49" t="n"/>
      <c r="I82" s="49" t="n"/>
      <c r="J82" s="49" t="n"/>
      <c r="K82" s="48">
        <f>IF(COUNT($F82:$J82)=0,"",SUM($F82:$J82))</f>
        <v/>
      </c>
      <c r="L82" s="47">
        <f>IFERROR(IF(K82="","",ROUND(K82/$K$11*100,2)),"")</f>
        <v/>
      </c>
      <c r="M82" s="54">
        <f>IFERROR(IF(L82="","",ROUND(L82*$M$11,2)),"")</f>
        <v/>
      </c>
      <c r="N82" s="52" t="n"/>
      <c r="O82" s="49" t="n"/>
      <c r="P82" s="49" t="n"/>
      <c r="Q82" s="48">
        <f>IF(COUNT($N82:$P82)=0,"",SUM($N82:$P82))</f>
        <v/>
      </c>
      <c r="R82" s="47">
        <f>IFERROR(IF(Q82="","",ROUND(Q82/$Q$11*100,2)),"")</f>
        <v/>
      </c>
      <c r="S82" s="54">
        <f>IFERROR(IF(R82="","",ROUND(R82*$S$11,2)),"")</f>
        <v/>
      </c>
      <c r="T82" s="265" t="n"/>
      <c r="U82" s="46" t="n"/>
      <c r="V82" s="268" t="n"/>
      <c r="W82" s="272">
        <f>IF(COUNT($T82:$V82)=0,"",SUM($T82:$V82))</f>
        <v/>
      </c>
      <c r="X82" s="352">
        <f>IFERROR(IF(W82="","",ROUND((($T82/$T$11)*30 + ($U82/$U$11)*30 + ($V82/$V$11)*40),2)),"")</f>
        <v/>
      </c>
      <c r="Y82" s="54">
        <f>IFERROR(IF(X82="","",ROUND(X82*$Y$11,2)),"")</f>
        <v/>
      </c>
      <c r="Z82" s="55">
        <f>IFERROR(M82+S82+Y82,"")</f>
        <v/>
      </c>
      <c r="AA82" s="274">
        <f>IFERROR(VLOOKUP(Z82,'Helper(IMPORTANT!)'!$CQ$1:$CR$41,2,TRUE),"")</f>
        <v/>
      </c>
      <c r="AB82" s="170">
        <f t="array" ref="AB82">IF(AA82="", "", _xlfn.IFS(AA82&gt;=90, "A", AA82&gt;=80, "B", AA82&gt;=75, "C", AA82&gt;=65, "D", AA82&gt;=0, "E"))</f>
        <v/>
      </c>
      <c r="AD82" s="39" t="n"/>
      <c r="AG82" s="38" t="n"/>
      <c r="AH82" s="38" t="n"/>
      <c r="AI82" s="38" t="n"/>
    </row>
    <row r="83" ht="18" customHeight="1">
      <c r="A83" s="169" t="n">
        <v>20</v>
      </c>
      <c r="B83" s="442">
        <f>'INPUT DATA'!O30</f>
        <v/>
      </c>
      <c r="C83" s="673" t="n"/>
      <c r="D83" s="673" t="n"/>
      <c r="E83" s="674" t="n"/>
      <c r="F83" s="52" t="n"/>
      <c r="G83" s="49" t="n"/>
      <c r="H83" s="49" t="n"/>
      <c r="I83" s="49" t="n"/>
      <c r="J83" s="49" t="n"/>
      <c r="K83" s="48">
        <f>IF(COUNT($F83:$J83)=0,"",SUM($F83:$J83))</f>
        <v/>
      </c>
      <c r="L83" s="47">
        <f>IFERROR(IF(K83="","",ROUND(K83/$K$11*100,2)),"")</f>
        <v/>
      </c>
      <c r="M83" s="54">
        <f>IFERROR(IF(L83="","",ROUND(L83*$M$11,2)),"")</f>
        <v/>
      </c>
      <c r="N83" s="52" t="n"/>
      <c r="O83" s="49" t="n"/>
      <c r="P83" s="49" t="n"/>
      <c r="Q83" s="48">
        <f>IF(COUNT($N83:$P83)=0,"",SUM($N83:$P83))</f>
        <v/>
      </c>
      <c r="R83" s="47">
        <f>IFERROR(IF(Q83="","",ROUND(Q83/$Q$11*100,2)),"")</f>
        <v/>
      </c>
      <c r="S83" s="54">
        <f>IFERROR(IF(R83="","",ROUND(R83*$S$11,2)),"")</f>
        <v/>
      </c>
      <c r="T83" s="265" t="n"/>
      <c r="U83" s="46" t="n"/>
      <c r="V83" s="268" t="n"/>
      <c r="W83" s="272">
        <f>IF(COUNT($T83:$V83)=0,"",SUM($T83:$V83))</f>
        <v/>
      </c>
      <c r="X83" s="352">
        <f>IFERROR(IF(W83="","",ROUND((($T83/$T$11)*30 + ($U83/$U$11)*30 + ($V83/$V$11)*40),2)),"")</f>
        <v/>
      </c>
      <c r="Y83" s="54">
        <f>IFERROR(IF(X83="","",ROUND(X83*$Y$11,2)),"")</f>
        <v/>
      </c>
      <c r="Z83" s="55">
        <f>IFERROR(M83+S83+Y83,"")</f>
        <v/>
      </c>
      <c r="AA83" s="274">
        <f>IFERROR(VLOOKUP(Z83,'Helper(IMPORTANT!)'!$CQ$1:$CR$41,2,TRUE),"")</f>
        <v/>
      </c>
      <c r="AB83" s="170">
        <f t="array" ref="AB83">IF(AA83="", "", _xlfn.IFS(AA83&gt;=90, "A", AA83&gt;=80, "B", AA83&gt;=75, "C", AA83&gt;=65, "D", AA83&gt;=0, "E"))</f>
        <v/>
      </c>
      <c r="AD83" s="39" t="n"/>
      <c r="AG83" s="38" t="n"/>
      <c r="AH83" s="38" t="n"/>
      <c r="AI83" s="38" t="n"/>
    </row>
    <row r="84" ht="18" customHeight="1">
      <c r="A84" s="169" t="n">
        <v>21</v>
      </c>
      <c r="B84" s="442">
        <f>'INPUT DATA'!O31</f>
        <v/>
      </c>
      <c r="C84" s="673" t="n"/>
      <c r="D84" s="673" t="n"/>
      <c r="E84" s="674" t="n"/>
      <c r="F84" s="52" t="n"/>
      <c r="G84" s="49" t="n"/>
      <c r="H84" s="49" t="n"/>
      <c r="I84" s="49" t="n"/>
      <c r="J84" s="49" t="n"/>
      <c r="K84" s="48">
        <f>IF(COUNT($F84:$J84)=0,"",SUM($F84:$J84))</f>
        <v/>
      </c>
      <c r="L84" s="47">
        <f>IFERROR(IF(K84="","",ROUND(K84/$K$11*100,2)),"")</f>
        <v/>
      </c>
      <c r="M84" s="54">
        <f>IFERROR(IF(L84="","",ROUND(L84*$M$11,2)),"")</f>
        <v/>
      </c>
      <c r="N84" s="52" t="n"/>
      <c r="O84" s="49" t="n"/>
      <c r="P84" s="49" t="n"/>
      <c r="Q84" s="48">
        <f>IF(COUNT($N84:$P84)=0,"",SUM($N84:$P84))</f>
        <v/>
      </c>
      <c r="R84" s="47">
        <f>IFERROR(IF(Q84="","",ROUND(Q84/$Q$11*100,2)),"")</f>
        <v/>
      </c>
      <c r="S84" s="54">
        <f>IFERROR(IF(R84="","",ROUND(R84*$S$11,2)),"")</f>
        <v/>
      </c>
      <c r="T84" s="265" t="n"/>
      <c r="U84" s="46" t="n"/>
      <c r="V84" s="268" t="n"/>
      <c r="W84" s="272">
        <f>IF(COUNT($T84:$V84)=0,"",SUM($T84:$V84))</f>
        <v/>
      </c>
      <c r="X84" s="352">
        <f>IFERROR(IF(W84="","",ROUND((($T84/$T$11)*30 + ($U84/$U$11)*30 + ($V84/$V$11)*40),2)),"")</f>
        <v/>
      </c>
      <c r="Y84" s="54">
        <f>IFERROR(IF(X84="","",ROUND(X84*$Y$11,2)),"")</f>
        <v/>
      </c>
      <c r="Z84" s="55">
        <f>IFERROR(M84+S84+Y84,"")</f>
        <v/>
      </c>
      <c r="AA84" s="274">
        <f>IFERROR(VLOOKUP(Z84,'Helper(IMPORTANT!)'!$CQ$1:$CR$41,2,TRUE),"")</f>
        <v/>
      </c>
      <c r="AB84" s="170">
        <f t="array" ref="AB84">IF(AA84="", "", _xlfn.IFS(AA84&gt;=90, "A", AA84&gt;=80, "B", AA84&gt;=75, "C", AA84&gt;=65, "D", AA84&gt;=0, "E"))</f>
        <v/>
      </c>
      <c r="AD84" s="39" t="n"/>
      <c r="AG84" s="38" t="n"/>
      <c r="AH84" s="38" t="n"/>
      <c r="AI84" s="38" t="n"/>
    </row>
    <row r="85" ht="18" customHeight="1">
      <c r="A85" s="169" t="n">
        <v>22</v>
      </c>
      <c r="B85" s="442">
        <f>'INPUT DATA'!O32</f>
        <v/>
      </c>
      <c r="C85" s="673" t="n"/>
      <c r="D85" s="673" t="n"/>
      <c r="E85" s="674" t="n"/>
      <c r="F85" s="52" t="n"/>
      <c r="G85" s="49" t="n"/>
      <c r="H85" s="49" t="n"/>
      <c r="I85" s="49" t="n"/>
      <c r="J85" s="49" t="n"/>
      <c r="K85" s="48">
        <f>IF(COUNT($F85:$J85)=0,"",SUM($F85:$J85))</f>
        <v/>
      </c>
      <c r="L85" s="47">
        <f>IFERROR(IF(K85="","",ROUND(K85/$K$11*100,2)),"")</f>
        <v/>
      </c>
      <c r="M85" s="54">
        <f>IFERROR(IF(L85="","",ROUND(L85*$M$11,2)),"")</f>
        <v/>
      </c>
      <c r="N85" s="52" t="n"/>
      <c r="O85" s="49" t="n"/>
      <c r="P85" s="49" t="n"/>
      <c r="Q85" s="48">
        <f>IF(COUNT($N85:$P85)=0,"",SUM($N85:$P85))</f>
        <v/>
      </c>
      <c r="R85" s="47">
        <f>IFERROR(IF(Q85="","",ROUND(Q85/$Q$11*100,2)),"")</f>
        <v/>
      </c>
      <c r="S85" s="54">
        <f>IFERROR(IF(R85="","",ROUND(R85*$S$11,2)),"")</f>
        <v/>
      </c>
      <c r="T85" s="265" t="n"/>
      <c r="U85" s="46" t="n"/>
      <c r="V85" s="268" t="n"/>
      <c r="W85" s="272">
        <f>IF(COUNT($T85:$V85)=0,"",SUM($T85:$V85))</f>
        <v/>
      </c>
      <c r="X85" s="352">
        <f>IFERROR(IF(W85="","",ROUND((($T85/$T$11)*30 + ($U85/$U$11)*30 + ($V85/$V$11)*40),2)),"")</f>
        <v/>
      </c>
      <c r="Y85" s="54">
        <f>IFERROR(IF(X85="","",ROUND(X85*$Y$11,2)),"")</f>
        <v/>
      </c>
      <c r="Z85" s="55">
        <f>IFERROR(M85+S85+Y85,"")</f>
        <v/>
      </c>
      <c r="AA85" s="274">
        <f>IFERROR(VLOOKUP(Z85,'Helper(IMPORTANT!)'!$CQ$1:$CR$41,2,TRUE),"")</f>
        <v/>
      </c>
      <c r="AB85" s="170">
        <f t="array" ref="AB85">IF(AA85="", "", _xlfn.IFS(AA85&gt;=90, "A", AA85&gt;=80, "B", AA85&gt;=75, "C", AA85&gt;=65, "D", AA85&gt;=0, "E"))</f>
        <v/>
      </c>
      <c r="AD85" s="39" t="n"/>
      <c r="AG85" s="38" t="n"/>
      <c r="AH85" s="38" t="n"/>
      <c r="AI85" s="38" t="n"/>
    </row>
    <row r="86" ht="18" customHeight="1">
      <c r="A86" s="169" t="n">
        <v>23</v>
      </c>
      <c r="B86" s="442">
        <f>'INPUT DATA'!O33</f>
        <v/>
      </c>
      <c r="C86" s="673" t="n"/>
      <c r="D86" s="673" t="n"/>
      <c r="E86" s="674" t="n"/>
      <c r="F86" s="52" t="n"/>
      <c r="G86" s="49" t="n"/>
      <c r="H86" s="49" t="n"/>
      <c r="I86" s="49" t="n"/>
      <c r="J86" s="49" t="n"/>
      <c r="K86" s="48">
        <f>IF(COUNT($F86:$J86)=0,"",SUM($F86:$J86))</f>
        <v/>
      </c>
      <c r="L86" s="47">
        <f>IFERROR(IF(K86="","",ROUND(K86/$K$11*100,2)),"")</f>
        <v/>
      </c>
      <c r="M86" s="54">
        <f>IFERROR(IF(L86="","",ROUND(L86*$M$11,2)),"")</f>
        <v/>
      </c>
      <c r="N86" s="52" t="n"/>
      <c r="O86" s="49" t="n"/>
      <c r="P86" s="49" t="n"/>
      <c r="Q86" s="48">
        <f>IF(COUNT($N86:$P86)=0,"",SUM($N86:$P86))</f>
        <v/>
      </c>
      <c r="R86" s="47">
        <f>IFERROR(IF(Q86="","",ROUND(Q86/$Q$11*100,2)),"")</f>
        <v/>
      </c>
      <c r="S86" s="54">
        <f>IFERROR(IF(R86="","",ROUND(R86*$S$11,2)),"")</f>
        <v/>
      </c>
      <c r="T86" s="265" t="n"/>
      <c r="U86" s="46" t="n"/>
      <c r="V86" s="268" t="n"/>
      <c r="W86" s="272">
        <f>IF(COUNT($T86:$V86)=0,"",SUM($T86:$V86))</f>
        <v/>
      </c>
      <c r="X86" s="352">
        <f>IFERROR(IF(W86="","",ROUND((($T86/$T$11)*30 + ($U86/$U$11)*30 + ($V86/$V$11)*40),2)),"")</f>
        <v/>
      </c>
      <c r="Y86" s="54">
        <f>IFERROR(IF(X86="","",ROUND(X86*$Y$11,2)),"")</f>
        <v/>
      </c>
      <c r="Z86" s="55">
        <f>IFERROR(M86+S86+Y86,"")</f>
        <v/>
      </c>
      <c r="AA86" s="274">
        <f>IFERROR(VLOOKUP(Z86,'Helper(IMPORTANT!)'!$CQ$1:$CR$41,2,TRUE),"")</f>
        <v/>
      </c>
      <c r="AB86" s="170">
        <f t="array" ref="AB86">IF(AA86="", "", _xlfn.IFS(AA86&gt;=90, "A", AA86&gt;=80, "B", AA86&gt;=75, "C", AA86&gt;=65, "D", AA86&gt;=0, "E"))</f>
        <v/>
      </c>
      <c r="AD86" s="39" t="n"/>
      <c r="AG86" s="38" t="n"/>
      <c r="AH86" s="38" t="n"/>
      <c r="AI86" s="38" t="n"/>
    </row>
    <row r="87" ht="18" customHeight="1">
      <c r="A87" s="169" t="n">
        <v>24</v>
      </c>
      <c r="B87" s="442">
        <f>'INPUT DATA'!O34</f>
        <v/>
      </c>
      <c r="C87" s="673" t="n"/>
      <c r="D87" s="673" t="n"/>
      <c r="E87" s="674" t="n"/>
      <c r="F87" s="52" t="n"/>
      <c r="G87" s="49" t="n"/>
      <c r="H87" s="49" t="n"/>
      <c r="I87" s="49" t="n"/>
      <c r="J87" s="49" t="n"/>
      <c r="K87" s="48">
        <f>IF(COUNT($F87:$J87)=0,"",SUM($F87:$J87))</f>
        <v/>
      </c>
      <c r="L87" s="47">
        <f>IFERROR(IF(K87="","",ROUND(K87/$K$11*100,2)),"")</f>
        <v/>
      </c>
      <c r="M87" s="54">
        <f>IFERROR(IF(L87="","",ROUND(L87*$M$11,2)),"")</f>
        <v/>
      </c>
      <c r="N87" s="52" t="n"/>
      <c r="O87" s="49" t="n"/>
      <c r="P87" s="49" t="n"/>
      <c r="Q87" s="48">
        <f>IF(COUNT($N87:$P87)=0,"",SUM($N87:$P87))</f>
        <v/>
      </c>
      <c r="R87" s="47">
        <f>IFERROR(IF(Q87="","",ROUND(Q87/$Q$11*100,2)),"")</f>
        <v/>
      </c>
      <c r="S87" s="54">
        <f>IFERROR(IF(R87="","",ROUND(R87*$S$11,2)),"")</f>
        <v/>
      </c>
      <c r="T87" s="265" t="n"/>
      <c r="U87" s="46" t="n"/>
      <c r="V87" s="268" t="n"/>
      <c r="W87" s="272">
        <f>IF(COUNT($T87:$V87)=0,"",SUM($T87:$V87))</f>
        <v/>
      </c>
      <c r="X87" s="352">
        <f>IFERROR(IF(W87="","",ROUND((($T87/$T$11)*30 + ($U87/$U$11)*30 + ($V87/$V$11)*40),2)),"")</f>
        <v/>
      </c>
      <c r="Y87" s="54">
        <f>IFERROR(IF(X87="","",ROUND(X87*$Y$11,2)),"")</f>
        <v/>
      </c>
      <c r="Z87" s="55">
        <f>IFERROR(M87+S87+Y87,"")</f>
        <v/>
      </c>
      <c r="AA87" s="274">
        <f>IFERROR(VLOOKUP(Z87,'Helper(IMPORTANT!)'!$CQ$1:$CR$41,2,TRUE),"")</f>
        <v/>
      </c>
      <c r="AB87" s="170">
        <f t="array" ref="AB87">IF(AA87="", "", _xlfn.IFS(AA87&gt;=90, "A", AA87&gt;=80, "B", AA87&gt;=75, "C", AA87&gt;=65, "D", AA87&gt;=0, "E"))</f>
        <v/>
      </c>
      <c r="AD87" s="39" t="n"/>
      <c r="AG87" s="38" t="n"/>
      <c r="AH87" s="38" t="n"/>
      <c r="AI87" s="38" t="n"/>
    </row>
    <row r="88" ht="18" customHeight="1">
      <c r="A88" s="169" t="n">
        <v>25</v>
      </c>
      <c r="B88" s="442">
        <f>'INPUT DATA'!O35</f>
        <v/>
      </c>
      <c r="C88" s="673" t="n"/>
      <c r="D88" s="673" t="n"/>
      <c r="E88" s="674" t="n"/>
      <c r="F88" s="52" t="n"/>
      <c r="G88" s="49" t="n"/>
      <c r="H88" s="49" t="n"/>
      <c r="I88" s="49" t="n"/>
      <c r="J88" s="49" t="n"/>
      <c r="K88" s="48">
        <f>IF(COUNT($F88:$J88)=0,"",SUM($F88:$J88))</f>
        <v/>
      </c>
      <c r="L88" s="47">
        <f>IFERROR(IF(K88="","",ROUND(K88/$K$11*100,2)),"")</f>
        <v/>
      </c>
      <c r="M88" s="54">
        <f>IFERROR(IF(L88="","",ROUND(L88*$M$11,2)),"")</f>
        <v/>
      </c>
      <c r="N88" s="52" t="n"/>
      <c r="O88" s="49" t="n"/>
      <c r="P88" s="49" t="n"/>
      <c r="Q88" s="48">
        <f>IF(COUNT($N88:$P88)=0,"",SUM($N88:$P88))</f>
        <v/>
      </c>
      <c r="R88" s="47">
        <f>IFERROR(IF(Q88="","",ROUND(Q88/$Q$11*100,2)),"")</f>
        <v/>
      </c>
      <c r="S88" s="54">
        <f>IFERROR(IF(R88="","",ROUND(R88*$S$11,2)),"")</f>
        <v/>
      </c>
      <c r="T88" s="265" t="n"/>
      <c r="U88" s="46" t="n"/>
      <c r="V88" s="268" t="n"/>
      <c r="W88" s="272">
        <f>IF(COUNT($T88:$V88)=0,"",SUM($T88:$V88))</f>
        <v/>
      </c>
      <c r="X88" s="352">
        <f>IFERROR(IF(W88="","",ROUND((($T88/$T$11)*30 + ($U88/$U$11)*30 + ($V88/$V$11)*40),2)),"")</f>
        <v/>
      </c>
      <c r="Y88" s="54">
        <f>IFERROR(IF(X88="","",ROUND(X88*$Y$11,2)),"")</f>
        <v/>
      </c>
      <c r="Z88" s="55">
        <f>IFERROR(M88+S88+Y88,"")</f>
        <v/>
      </c>
      <c r="AA88" s="274">
        <f>IFERROR(VLOOKUP(Z88,'Helper(IMPORTANT!)'!$CQ$1:$CR$41,2,TRUE),"")</f>
        <v/>
      </c>
      <c r="AB88" s="170">
        <f t="array" ref="AB88">IF(AA88="", "", _xlfn.IFS(AA88&gt;=90, "A", AA88&gt;=80, "B", AA88&gt;=75, "C", AA88&gt;=65, "D", AA88&gt;=0, "E"))</f>
        <v/>
      </c>
      <c r="AD88" s="39" t="n"/>
      <c r="AG88" s="38" t="n"/>
      <c r="AH88" s="38" t="n"/>
      <c r="AI88" s="38" t="n"/>
    </row>
    <row r="89" ht="18" customHeight="1">
      <c r="A89" s="169" t="n">
        <v>26</v>
      </c>
      <c r="B89" s="442">
        <f>'INPUT DATA'!O36</f>
        <v/>
      </c>
      <c r="C89" s="673" t="n"/>
      <c r="D89" s="673" t="n"/>
      <c r="E89" s="674" t="n"/>
      <c r="F89" s="52" t="n"/>
      <c r="G89" s="49" t="n"/>
      <c r="H89" s="49" t="n"/>
      <c r="I89" s="49" t="n"/>
      <c r="J89" s="49" t="n"/>
      <c r="K89" s="48">
        <f>IF(COUNT($F89:$J89)=0,"",SUM($F89:$J89))</f>
        <v/>
      </c>
      <c r="L89" s="47">
        <f>IFERROR(IF(K89="","",ROUND(K89/$K$11*100,2)),"")</f>
        <v/>
      </c>
      <c r="M89" s="54">
        <f>IFERROR(IF(L89="","",ROUND(L89*$M$11,2)),"")</f>
        <v/>
      </c>
      <c r="N89" s="52" t="n"/>
      <c r="O89" s="49" t="n"/>
      <c r="P89" s="49" t="n"/>
      <c r="Q89" s="48">
        <f>IF(COUNT($N89:$P89)=0,"",SUM($N89:$P89))</f>
        <v/>
      </c>
      <c r="R89" s="47">
        <f>IFERROR(IF(Q89="","",ROUND(Q89/$Q$11*100,2)),"")</f>
        <v/>
      </c>
      <c r="S89" s="54">
        <f>IFERROR(IF(R89="","",ROUND(R89*$S$11,2)),"")</f>
        <v/>
      </c>
      <c r="T89" s="265" t="n"/>
      <c r="U89" s="46" t="n"/>
      <c r="V89" s="268" t="n"/>
      <c r="W89" s="272">
        <f>IF(COUNT($T89:$V89)=0,"",SUM($T89:$V89))</f>
        <v/>
      </c>
      <c r="X89" s="352">
        <f>IFERROR(IF(W89="","",ROUND((($T89/$T$11)*30 + ($U89/$U$11)*30 + ($V89/$V$11)*40),2)),"")</f>
        <v/>
      </c>
      <c r="Y89" s="54">
        <f>IFERROR(IF(X89="","",ROUND(X89*$Y$11,2)),"")</f>
        <v/>
      </c>
      <c r="Z89" s="55">
        <f>IFERROR(M89+S89+Y89,"")</f>
        <v/>
      </c>
      <c r="AA89" s="274">
        <f>IFERROR(VLOOKUP(Z89,'Helper(IMPORTANT!)'!$CQ$1:$CR$41,2,TRUE),"")</f>
        <v/>
      </c>
      <c r="AB89" s="170">
        <f t="array" ref="AB89">IF(AA89="", "", _xlfn.IFS(AA89&gt;=90, "A", AA89&gt;=80, "B", AA89&gt;=75, "C", AA89&gt;=65, "D", AA89&gt;=0, "E"))</f>
        <v/>
      </c>
      <c r="AD89" s="39" t="n"/>
      <c r="AG89" s="38" t="n"/>
      <c r="AH89" s="38" t="n"/>
      <c r="AI89" s="38" t="n"/>
    </row>
    <row r="90" ht="18" customHeight="1">
      <c r="A90" s="169" t="n">
        <v>27</v>
      </c>
      <c r="B90" s="442">
        <f>'INPUT DATA'!O37</f>
        <v/>
      </c>
      <c r="C90" s="673" t="n"/>
      <c r="D90" s="673" t="n"/>
      <c r="E90" s="674" t="n"/>
      <c r="F90" s="52" t="n"/>
      <c r="G90" s="49" t="n"/>
      <c r="H90" s="49" t="n"/>
      <c r="I90" s="49" t="n"/>
      <c r="J90" s="49" t="n"/>
      <c r="K90" s="48">
        <f>IF(COUNT($F90:$J90)=0,"",SUM($F90:$J90))</f>
        <v/>
      </c>
      <c r="L90" s="47">
        <f>IFERROR(IF(K90="","",ROUND(K90/$K$11*100,2)),"")</f>
        <v/>
      </c>
      <c r="M90" s="54">
        <f>IFERROR(IF(L90="","",ROUND(L90*$M$11,2)),"")</f>
        <v/>
      </c>
      <c r="N90" s="52" t="n"/>
      <c r="O90" s="49" t="n"/>
      <c r="P90" s="49" t="n"/>
      <c r="Q90" s="48">
        <f>IF(COUNT($N90:$P90)=0,"",SUM($N90:$P90))</f>
        <v/>
      </c>
      <c r="R90" s="47">
        <f>IFERROR(IF(Q90="","",ROUND(Q90/$Q$11*100,2)),"")</f>
        <v/>
      </c>
      <c r="S90" s="54">
        <f>IFERROR(IF(R90="","",ROUND(R90*$S$11,2)),"")</f>
        <v/>
      </c>
      <c r="T90" s="265" t="n"/>
      <c r="U90" s="46" t="n"/>
      <c r="V90" s="268" t="n"/>
      <c r="W90" s="272">
        <f>IF(COUNT($T90:$V90)=0,"",SUM($T90:$V90))</f>
        <v/>
      </c>
      <c r="X90" s="352">
        <f>IFERROR(IF(W90="","",ROUND((($T90/$T$11)*30 + ($U90/$U$11)*30 + ($V90/$V$11)*40),2)),"")</f>
        <v/>
      </c>
      <c r="Y90" s="54">
        <f>IFERROR(IF(X90="","",ROUND(X90*$Y$11,2)),"")</f>
        <v/>
      </c>
      <c r="Z90" s="55">
        <f>IFERROR(M90+S90+Y90,"")</f>
        <v/>
      </c>
      <c r="AA90" s="274">
        <f>IFERROR(VLOOKUP(Z90,'Helper(IMPORTANT!)'!$CQ$1:$CR$41,2,TRUE),"")</f>
        <v/>
      </c>
      <c r="AB90" s="170">
        <f t="array" ref="AB90">IF(AA90="", "", _xlfn.IFS(AA90&gt;=90, "A", AA90&gt;=80, "B", AA90&gt;=75, "C", AA90&gt;=65, "D", AA90&gt;=0, "E"))</f>
        <v/>
      </c>
      <c r="AD90" s="39" t="n"/>
      <c r="AG90" s="38" t="n"/>
      <c r="AH90" s="38" t="n"/>
      <c r="AI90" s="38" t="n"/>
    </row>
    <row r="91" ht="18" customHeight="1">
      <c r="A91" s="169" t="n">
        <v>28</v>
      </c>
      <c r="B91" s="442">
        <f>'INPUT DATA'!O38</f>
        <v/>
      </c>
      <c r="C91" s="673" t="n"/>
      <c r="D91" s="673" t="n"/>
      <c r="E91" s="674" t="n"/>
      <c r="F91" s="52" t="n"/>
      <c r="G91" s="49" t="n"/>
      <c r="H91" s="49" t="n"/>
      <c r="I91" s="49" t="n"/>
      <c r="J91" s="49" t="n"/>
      <c r="K91" s="48">
        <f>IF(COUNT($F91:$J91)=0,"",SUM($F91:$J91))</f>
        <v/>
      </c>
      <c r="L91" s="47">
        <f>IFERROR(IF(K91="","",ROUND(K91/$K$11*100,2)),"")</f>
        <v/>
      </c>
      <c r="M91" s="54">
        <f>IFERROR(IF(L91="","",ROUND(L91*$M$11,2)),"")</f>
        <v/>
      </c>
      <c r="N91" s="52" t="n"/>
      <c r="O91" s="49" t="n"/>
      <c r="P91" s="49" t="n"/>
      <c r="Q91" s="48">
        <f>IF(COUNT($N91:$P91)=0,"",SUM($N91:$P91))</f>
        <v/>
      </c>
      <c r="R91" s="47">
        <f>IFERROR(IF(Q91="","",ROUND(Q91/$Q$11*100,2)),"")</f>
        <v/>
      </c>
      <c r="S91" s="54">
        <f>IFERROR(IF(R91="","",ROUND(R91*$S$11,2)),"")</f>
        <v/>
      </c>
      <c r="T91" s="265" t="n"/>
      <c r="U91" s="46" t="n"/>
      <c r="V91" s="268" t="n"/>
      <c r="W91" s="272">
        <f>IF(COUNT($T91:$V91)=0,"",SUM($T91:$V91))</f>
        <v/>
      </c>
      <c r="X91" s="352">
        <f>IFERROR(IF(W91="","",ROUND((($T91/$T$11)*30 + ($U91/$U$11)*30 + ($V91/$V$11)*40),2)),"")</f>
        <v/>
      </c>
      <c r="Y91" s="54">
        <f>IFERROR(IF(X91="","",ROUND(X91*$Y$11,2)),"")</f>
        <v/>
      </c>
      <c r="Z91" s="55">
        <f>IFERROR(M91+S91+Y91,"")</f>
        <v/>
      </c>
      <c r="AA91" s="274">
        <f>IFERROR(VLOOKUP(Z91,'Helper(IMPORTANT!)'!$CQ$1:$CR$41,2,TRUE),"")</f>
        <v/>
      </c>
      <c r="AB91" s="170">
        <f t="array" ref="AB91">IF(AA91="", "", _xlfn.IFS(AA91&gt;=90, "A", AA91&gt;=80, "B", AA91&gt;=75, "C", AA91&gt;=65, "D", AA91&gt;=0, "E"))</f>
        <v/>
      </c>
      <c r="AD91" s="39" t="n"/>
      <c r="AG91" s="38" t="n"/>
      <c r="AH91" s="38" t="n"/>
      <c r="AI91" s="38" t="n"/>
    </row>
    <row r="92" ht="18" customHeight="1">
      <c r="A92" s="169" t="n">
        <v>29</v>
      </c>
      <c r="B92" s="442">
        <f>'INPUT DATA'!O39</f>
        <v/>
      </c>
      <c r="C92" s="673" t="n"/>
      <c r="D92" s="673" t="n"/>
      <c r="E92" s="674" t="n"/>
      <c r="F92" s="52" t="n"/>
      <c r="G92" s="49" t="n"/>
      <c r="H92" s="49" t="n"/>
      <c r="I92" s="49" t="n"/>
      <c r="J92" s="49" t="n"/>
      <c r="K92" s="48">
        <f>IF(COUNT($F92:$J92)=0,"",SUM($F92:$J92))</f>
        <v/>
      </c>
      <c r="L92" s="47">
        <f>IFERROR(IF(K92="","",ROUND(K92/$K$11*100,2)),"")</f>
        <v/>
      </c>
      <c r="M92" s="54">
        <f>IFERROR(IF(L92="","",ROUND(L92*$M$11,2)),"")</f>
        <v/>
      </c>
      <c r="N92" s="52" t="n"/>
      <c r="O92" s="49" t="n"/>
      <c r="P92" s="49" t="n"/>
      <c r="Q92" s="48">
        <f>IF(COUNT($N92:$P92)=0,"",SUM($N92:$P92))</f>
        <v/>
      </c>
      <c r="R92" s="47">
        <f>IFERROR(IF(Q92="","",ROUND(Q92/$Q$11*100,2)),"")</f>
        <v/>
      </c>
      <c r="S92" s="54">
        <f>IFERROR(IF(R92="","",ROUND(R92*$S$11,2)),"")</f>
        <v/>
      </c>
      <c r="T92" s="265" t="n"/>
      <c r="U92" s="46" t="n"/>
      <c r="V92" s="268" t="n"/>
      <c r="W92" s="272">
        <f>IF(COUNT($T92:$V92)=0,"",SUM($T92:$V92))</f>
        <v/>
      </c>
      <c r="X92" s="352">
        <f>IFERROR(IF(W92="","",ROUND((($T92/$T$11)*30 + ($U92/$U$11)*30 + ($V92/$V$11)*40),2)),"")</f>
        <v/>
      </c>
      <c r="Y92" s="54">
        <f>IFERROR(IF(X92="","",ROUND(X92*$Y$11,2)),"")</f>
        <v/>
      </c>
      <c r="Z92" s="55">
        <f>IFERROR(M92+S92+Y92,"")</f>
        <v/>
      </c>
      <c r="AA92" s="274">
        <f>IFERROR(VLOOKUP(Z92,'Helper(IMPORTANT!)'!$CQ$1:$CR$41,2,TRUE),"")</f>
        <v/>
      </c>
      <c r="AB92" s="170">
        <f t="array" ref="AB92">IF(AA92="", "", _xlfn.IFS(AA92&gt;=90, "A", AA92&gt;=80, "B", AA92&gt;=75, "C", AA92&gt;=65, "D", AA92&gt;=0, "E"))</f>
        <v/>
      </c>
      <c r="AD92" s="39" t="n"/>
      <c r="AG92" s="38" t="n"/>
      <c r="AH92" s="38" t="n"/>
      <c r="AI92" s="38" t="n"/>
    </row>
    <row r="93" ht="18" customHeight="1">
      <c r="A93" s="169" t="n">
        <v>30</v>
      </c>
      <c r="B93" s="442">
        <f>'INPUT DATA'!O40</f>
        <v/>
      </c>
      <c r="C93" s="673" t="n"/>
      <c r="D93" s="673" t="n"/>
      <c r="E93" s="674" t="n"/>
      <c r="F93" s="52" t="n"/>
      <c r="G93" s="49" t="n"/>
      <c r="H93" s="49" t="n"/>
      <c r="I93" s="49" t="n"/>
      <c r="J93" s="49" t="n"/>
      <c r="K93" s="48">
        <f>IF(COUNT($F93:$J93)=0,"",SUM($F93:$J93))</f>
        <v/>
      </c>
      <c r="L93" s="47">
        <f>IFERROR(IF(K93="","",ROUND(K93/$K$11*100,2)),"")</f>
        <v/>
      </c>
      <c r="M93" s="54">
        <f>IFERROR(IF(L93="","",ROUND(L93*$M$11,2)),"")</f>
        <v/>
      </c>
      <c r="N93" s="52" t="n"/>
      <c r="O93" s="49" t="n"/>
      <c r="P93" s="49" t="n"/>
      <c r="Q93" s="48">
        <f>IF(COUNT($N93:$P93)=0,"",SUM($N93:$P93))</f>
        <v/>
      </c>
      <c r="R93" s="47">
        <f>IFERROR(IF(Q93="","",ROUND(Q93/$Q$11*100,2)),"")</f>
        <v/>
      </c>
      <c r="S93" s="54">
        <f>IFERROR(IF(R93="","",ROUND(R93*$S$11,2)),"")</f>
        <v/>
      </c>
      <c r="T93" s="265" t="n"/>
      <c r="U93" s="46" t="n"/>
      <c r="V93" s="268" t="n"/>
      <c r="W93" s="272">
        <f>IF(COUNT($T93:$V93)=0,"",SUM($T93:$V93))</f>
        <v/>
      </c>
      <c r="X93" s="352">
        <f>IFERROR(IF(W93="","",ROUND((($T93/$T$11)*30 + ($U93/$U$11)*30 + ($V93/$V$11)*40),2)),"")</f>
        <v/>
      </c>
      <c r="Y93" s="54">
        <f>IFERROR(IF(X93="","",ROUND(X93*$Y$11,2)),"")</f>
        <v/>
      </c>
      <c r="Z93" s="55">
        <f>IFERROR(M93+S93+Y93,"")</f>
        <v/>
      </c>
      <c r="AA93" s="274">
        <f>IFERROR(VLOOKUP(Z93,'Helper(IMPORTANT!)'!$CQ$1:$CR$41,2,TRUE),"")</f>
        <v/>
      </c>
      <c r="AB93" s="170">
        <f t="array" ref="AB93">IF(AA93="", "", _xlfn.IFS(AA93&gt;=90, "A", AA93&gt;=80, "B", AA93&gt;=75, "C", AA93&gt;=65, "D", AA93&gt;=0, "E"))</f>
        <v/>
      </c>
      <c r="AD93" s="39" t="n"/>
      <c r="AG93" s="38" t="n"/>
      <c r="AH93" s="38" t="n"/>
      <c r="AI93" s="38" t="n"/>
    </row>
    <row r="94" ht="18" customHeight="1">
      <c r="A94" s="169" t="n">
        <v>31</v>
      </c>
      <c r="B94" s="442">
        <f>'INPUT DATA'!O41</f>
        <v/>
      </c>
      <c r="C94" s="673" t="n"/>
      <c r="D94" s="673" t="n"/>
      <c r="E94" s="674" t="n"/>
      <c r="F94" s="52" t="n"/>
      <c r="G94" s="49" t="n"/>
      <c r="H94" s="49" t="n"/>
      <c r="I94" s="49" t="n"/>
      <c r="J94" s="49" t="n"/>
      <c r="K94" s="48">
        <f>IF(COUNT($F94:$J94)=0,"",SUM($F94:$J94))</f>
        <v/>
      </c>
      <c r="L94" s="47">
        <f>IFERROR(IF(K94="","",ROUND(K94/$K$11*100,2)),"")</f>
        <v/>
      </c>
      <c r="M94" s="54">
        <f>IFERROR(IF(L94="","",ROUND(L94*$M$11,2)),"")</f>
        <v/>
      </c>
      <c r="N94" s="52" t="n"/>
      <c r="O94" s="49" t="n"/>
      <c r="P94" s="49" t="n"/>
      <c r="Q94" s="48">
        <f>IF(COUNT($N94:$P94)=0,"",SUM($N94:$P94))</f>
        <v/>
      </c>
      <c r="R94" s="47">
        <f>IFERROR(IF(Q94="","",ROUND(Q94/$Q$11*100,2)),"")</f>
        <v/>
      </c>
      <c r="S94" s="54">
        <f>IFERROR(IF(R94="","",ROUND(R94*$S$11,2)),"")</f>
        <v/>
      </c>
      <c r="T94" s="265" t="n"/>
      <c r="U94" s="46" t="n"/>
      <c r="V94" s="268" t="n"/>
      <c r="W94" s="272">
        <f>IF(COUNT($T94:$V94)=0,"",SUM($T94:$V94))</f>
        <v/>
      </c>
      <c r="X94" s="352">
        <f>IFERROR(IF(W94="","",ROUND((($T94/$T$11)*30 + ($U94/$U$11)*30 + ($V94/$V$11)*40),2)),"")</f>
        <v/>
      </c>
      <c r="Y94" s="54">
        <f>IFERROR(IF(X94="","",ROUND(X94*$Y$11,2)),"")</f>
        <v/>
      </c>
      <c r="Z94" s="55">
        <f>IFERROR(M94+S94+Y94,"")</f>
        <v/>
      </c>
      <c r="AA94" s="274">
        <f>IFERROR(VLOOKUP(Z94,'Helper(IMPORTANT!)'!$CQ$1:$CR$41,2,TRUE),"")</f>
        <v/>
      </c>
      <c r="AB94" s="170">
        <f t="array" ref="AB94">IF(AA94="", "", _xlfn.IFS(AA94&gt;=90, "A", AA94&gt;=80, "B", AA94&gt;=75, "C", AA94&gt;=65, "D", AA94&gt;=0, "E"))</f>
        <v/>
      </c>
      <c r="AD94" s="39" t="n"/>
      <c r="AG94" s="38" t="n"/>
      <c r="AH94" s="38" t="n"/>
      <c r="AI94" s="38" t="n"/>
    </row>
    <row r="95" ht="18" customHeight="1">
      <c r="A95" s="169" t="n">
        <v>32</v>
      </c>
      <c r="B95" s="442">
        <f>'INPUT DATA'!O42</f>
        <v/>
      </c>
      <c r="C95" s="673" t="n"/>
      <c r="D95" s="673" t="n"/>
      <c r="E95" s="674" t="n"/>
      <c r="F95" s="52" t="n"/>
      <c r="G95" s="49" t="n"/>
      <c r="H95" s="49" t="n"/>
      <c r="I95" s="49" t="n"/>
      <c r="J95" s="49" t="n"/>
      <c r="K95" s="48">
        <f>IF(COUNT($F95:$J95)=0,"",SUM($F95:$J95))</f>
        <v/>
      </c>
      <c r="L95" s="47">
        <f>IFERROR(IF(K95="","",ROUND(K95/$K$11*100,2)),"")</f>
        <v/>
      </c>
      <c r="M95" s="54">
        <f>IFERROR(IF(L95="","",ROUND(L95*$M$11,2)),"")</f>
        <v/>
      </c>
      <c r="N95" s="52" t="n"/>
      <c r="O95" s="49" t="n"/>
      <c r="P95" s="49" t="n"/>
      <c r="Q95" s="48">
        <f>IF(COUNT($N95:$P95)=0,"",SUM($N95:$P95))</f>
        <v/>
      </c>
      <c r="R95" s="47">
        <f>IFERROR(IF(Q95="","",ROUND(Q95/$Q$11*100,2)),"")</f>
        <v/>
      </c>
      <c r="S95" s="54">
        <f>IFERROR(IF(R95="","",ROUND(R95*$S$11,2)),"")</f>
        <v/>
      </c>
      <c r="T95" s="265" t="n"/>
      <c r="U95" s="46" t="n"/>
      <c r="V95" s="268" t="n"/>
      <c r="W95" s="272">
        <f>IF(COUNT($T95:$V95)=0,"",SUM($T95:$V95))</f>
        <v/>
      </c>
      <c r="X95" s="352">
        <f>IFERROR(IF(W95="","",ROUND((($T95/$T$11)*30 + ($U95/$U$11)*30 + ($V95/$V$11)*40),2)),"")</f>
        <v/>
      </c>
      <c r="Y95" s="54">
        <f>IFERROR(IF(X95="","",ROUND(X95*$Y$11,2)),"")</f>
        <v/>
      </c>
      <c r="Z95" s="55">
        <f>IFERROR(M95+S95+Y95,"")</f>
        <v/>
      </c>
      <c r="AA95" s="274">
        <f>IFERROR(VLOOKUP(Z95,'Helper(IMPORTANT!)'!$CQ$1:$CR$41,2,TRUE),"")</f>
        <v/>
      </c>
      <c r="AB95" s="170">
        <f t="array" ref="AB95">IF(AA95="", "", _xlfn.IFS(AA95&gt;=90, "A", AA95&gt;=80, "B", AA95&gt;=75, "C", AA95&gt;=65, "D", AA95&gt;=0, "E"))</f>
        <v/>
      </c>
      <c r="AD95" s="39" t="n"/>
      <c r="AG95" s="38" t="n"/>
      <c r="AH95" s="38" t="n"/>
      <c r="AI95" s="38" t="n"/>
    </row>
    <row r="96" ht="18" customHeight="1">
      <c r="A96" s="169" t="n">
        <v>33</v>
      </c>
      <c r="B96" s="442">
        <f>'INPUT DATA'!O43</f>
        <v/>
      </c>
      <c r="C96" s="673" t="n"/>
      <c r="D96" s="673" t="n"/>
      <c r="E96" s="674" t="n"/>
      <c r="F96" s="52" t="n"/>
      <c r="G96" s="49" t="n"/>
      <c r="H96" s="49" t="n"/>
      <c r="I96" s="49" t="n"/>
      <c r="J96" s="49" t="n"/>
      <c r="K96" s="48">
        <f>IF(COUNT($F96:$J96)=0,"",SUM($F96:$J96))</f>
        <v/>
      </c>
      <c r="L96" s="47">
        <f>IFERROR(IF(K96="","",ROUND(K96/$K$11*100,2)),"")</f>
        <v/>
      </c>
      <c r="M96" s="54">
        <f>IFERROR(IF(L96="","",ROUND(L96*$M$11,2)),"")</f>
        <v/>
      </c>
      <c r="N96" s="52" t="n"/>
      <c r="O96" s="49" t="n"/>
      <c r="P96" s="49" t="n"/>
      <c r="Q96" s="48">
        <f>IF(COUNT($N96:$P96)=0,"",SUM($N96:$P96))</f>
        <v/>
      </c>
      <c r="R96" s="47">
        <f>IFERROR(IF(Q96="","",ROUND(Q96/$Q$11*100,2)),"")</f>
        <v/>
      </c>
      <c r="S96" s="54">
        <f>IFERROR(IF(R96="","",ROUND(R96*$S$11,2)),"")</f>
        <v/>
      </c>
      <c r="T96" s="265" t="n"/>
      <c r="U96" s="46" t="n"/>
      <c r="V96" s="268" t="n"/>
      <c r="W96" s="272">
        <f>IF(COUNT($T96:$V96)=0,"",SUM($T96:$V96))</f>
        <v/>
      </c>
      <c r="X96" s="352">
        <f>IFERROR(IF(W96="","",ROUND((($T96/$T$11)*30 + ($U96/$U$11)*30 + ($V96/$V$11)*40),2)),"")</f>
        <v/>
      </c>
      <c r="Y96" s="54">
        <f>IFERROR(IF(X96="","",ROUND(X96*$Y$11,2)),"")</f>
        <v/>
      </c>
      <c r="Z96" s="55">
        <f>IFERROR(M96+S96+Y96,"")</f>
        <v/>
      </c>
      <c r="AA96" s="274">
        <f>IFERROR(VLOOKUP(Z96,'Helper(IMPORTANT!)'!$CQ$1:$CR$41,2,TRUE),"")</f>
        <v/>
      </c>
      <c r="AB96" s="170">
        <f t="array" ref="AB96">IF(AA96="", "", _xlfn.IFS(AA96&gt;=90, "A", AA96&gt;=80, "B", AA96&gt;=75, "C", AA96&gt;=65, "D", AA96&gt;=0, "E"))</f>
        <v/>
      </c>
      <c r="AD96" s="39" t="n"/>
      <c r="AG96" s="38" t="n"/>
      <c r="AH96" s="38" t="n"/>
      <c r="AI96" s="38" t="n"/>
    </row>
    <row r="97" ht="18" customHeight="1">
      <c r="A97" s="169" t="n">
        <v>34</v>
      </c>
      <c r="B97" s="442">
        <f>'INPUT DATA'!O44</f>
        <v/>
      </c>
      <c r="C97" s="673" t="n"/>
      <c r="D97" s="673" t="n"/>
      <c r="E97" s="674" t="n"/>
      <c r="F97" s="52" t="n"/>
      <c r="G97" s="49" t="n"/>
      <c r="H97" s="49" t="n"/>
      <c r="I97" s="49" t="n"/>
      <c r="J97" s="49" t="n"/>
      <c r="K97" s="48">
        <f>IF(COUNT($F97:$J97)=0,"",SUM($F97:$J97))</f>
        <v/>
      </c>
      <c r="L97" s="47">
        <f>IFERROR(IF(K97="","",ROUND(K97/$K$11*100,2)),"")</f>
        <v/>
      </c>
      <c r="M97" s="54">
        <f>IFERROR(IF(L97="","",ROUND(L97*$M$11,2)),"")</f>
        <v/>
      </c>
      <c r="N97" s="52" t="n"/>
      <c r="O97" s="49" t="n"/>
      <c r="P97" s="49" t="n"/>
      <c r="Q97" s="48">
        <f>IF(COUNT($N97:$P97)=0,"",SUM($N97:$P97))</f>
        <v/>
      </c>
      <c r="R97" s="47">
        <f>IFERROR(IF(Q97="","",ROUND(Q97/$Q$11*100,2)),"")</f>
        <v/>
      </c>
      <c r="S97" s="54">
        <f>IFERROR(IF(R97="","",ROUND(R97*$S$11,2)),"")</f>
        <v/>
      </c>
      <c r="T97" s="265" t="n"/>
      <c r="U97" s="46" t="n"/>
      <c r="V97" s="268" t="n"/>
      <c r="W97" s="272">
        <f>IF(COUNT($T97:$V97)=0,"",SUM($T97:$V97))</f>
        <v/>
      </c>
      <c r="X97" s="352">
        <f>IFERROR(IF(W97="","",ROUND((($T97/$T$11)*30 + ($U97/$U$11)*30 + ($V97/$V$11)*40),2)),"")</f>
        <v/>
      </c>
      <c r="Y97" s="54">
        <f>IFERROR(IF(X97="","",ROUND(X97*$Y$11,2)),"")</f>
        <v/>
      </c>
      <c r="Z97" s="55">
        <f>IFERROR(M97+S97+Y97,"")</f>
        <v/>
      </c>
      <c r="AA97" s="274">
        <f>IFERROR(VLOOKUP(Z97,'Helper(IMPORTANT!)'!$CQ$1:$CR$41,2,TRUE),"")</f>
        <v/>
      </c>
      <c r="AB97" s="170">
        <f t="array" ref="AB97">IF(AA97="", "", _xlfn.IFS(AA97&gt;=90, "A", AA97&gt;=80, "B", AA97&gt;=75, "C", AA97&gt;=65, "D", AA97&gt;=0, "E"))</f>
        <v/>
      </c>
      <c r="AD97" s="39" t="n"/>
      <c r="AG97" s="38" t="n"/>
      <c r="AH97" s="38" t="n"/>
      <c r="AI97" s="38" t="n"/>
    </row>
    <row r="98" ht="18" customHeight="1">
      <c r="A98" s="169" t="n">
        <v>35</v>
      </c>
      <c r="B98" s="442">
        <f>'INPUT DATA'!O45</f>
        <v/>
      </c>
      <c r="C98" s="673" t="n"/>
      <c r="D98" s="673" t="n"/>
      <c r="E98" s="674" t="n"/>
      <c r="F98" s="52" t="n"/>
      <c r="G98" s="49" t="n"/>
      <c r="H98" s="49" t="n"/>
      <c r="I98" s="49" t="n"/>
      <c r="J98" s="49" t="n"/>
      <c r="K98" s="48">
        <f>IF(COUNT($F98:$J98)=0,"",SUM($F98:$J98))</f>
        <v/>
      </c>
      <c r="L98" s="47">
        <f>IFERROR(IF(K98="","",ROUND(K98/$K$11*100,2)),"")</f>
        <v/>
      </c>
      <c r="M98" s="54">
        <f>IFERROR(IF(L98="","",ROUND(L98*$M$11,2)),"")</f>
        <v/>
      </c>
      <c r="N98" s="52" t="n"/>
      <c r="O98" s="49" t="n"/>
      <c r="P98" s="49" t="n"/>
      <c r="Q98" s="48">
        <f>IF(COUNT($N98:$P98)=0,"",SUM($N98:$P98))</f>
        <v/>
      </c>
      <c r="R98" s="47">
        <f>IFERROR(IF(Q98="","",ROUND(Q98/$Q$11*100,2)),"")</f>
        <v/>
      </c>
      <c r="S98" s="54">
        <f>IFERROR(IF(R98="","",ROUND(R98*$S$11,2)),"")</f>
        <v/>
      </c>
      <c r="T98" s="265" t="n"/>
      <c r="U98" s="46" t="n"/>
      <c r="V98" s="268" t="n"/>
      <c r="W98" s="272">
        <f>IF(COUNT($T98:$V98)=0,"",SUM($T98:$V98))</f>
        <v/>
      </c>
      <c r="X98" s="352">
        <f>IFERROR(IF(W98="","",ROUND((($T98/$T$11)*30 + ($U98/$U$11)*30 + ($V98/$V$11)*40),2)),"")</f>
        <v/>
      </c>
      <c r="Y98" s="54">
        <f>IFERROR(IF(X98="","",ROUND(X98*$Y$11,2)),"")</f>
        <v/>
      </c>
      <c r="Z98" s="55">
        <f>IFERROR(M98+S98+Y98,"")</f>
        <v/>
      </c>
      <c r="AA98" s="274">
        <f>IFERROR(VLOOKUP(Z98,'Helper(IMPORTANT!)'!$CQ$1:$CR$41,2,TRUE),"")</f>
        <v/>
      </c>
      <c r="AB98" s="170">
        <f t="array" ref="AB98">IF(AA98="", "", _xlfn.IFS(AA98&gt;=90, "A", AA98&gt;=80, "B", AA98&gt;=75, "C", AA98&gt;=65, "D", AA98&gt;=0, "E"))</f>
        <v/>
      </c>
      <c r="AD98" s="39" t="n"/>
      <c r="AG98" s="38" t="n"/>
      <c r="AH98" s="38" t="n"/>
      <c r="AI98" s="38" t="n"/>
    </row>
    <row r="99" ht="18" customHeight="1">
      <c r="A99" s="169" t="n">
        <v>36</v>
      </c>
      <c r="B99" s="442">
        <f>'INPUT DATA'!O46</f>
        <v/>
      </c>
      <c r="C99" s="673" t="n"/>
      <c r="D99" s="673" t="n"/>
      <c r="E99" s="674" t="n"/>
      <c r="F99" s="52" t="n"/>
      <c r="G99" s="49" t="n"/>
      <c r="H99" s="49" t="n"/>
      <c r="I99" s="49" t="n"/>
      <c r="J99" s="49" t="n"/>
      <c r="K99" s="48">
        <f>IF(COUNT($F99:$J99)=0,"",SUM($F99:$J99))</f>
        <v/>
      </c>
      <c r="L99" s="47">
        <f>IFERROR(IF(K99="","",ROUND(K99/$K$11*100,2)),"")</f>
        <v/>
      </c>
      <c r="M99" s="54">
        <f>IFERROR(IF(L99="","",ROUND(L99*$M$11,2)),"")</f>
        <v/>
      </c>
      <c r="N99" s="52" t="n"/>
      <c r="O99" s="49" t="n"/>
      <c r="P99" s="49" t="n"/>
      <c r="Q99" s="48">
        <f>IF(COUNT($N99:$P99)=0,"",SUM($N99:$P99))</f>
        <v/>
      </c>
      <c r="R99" s="47">
        <f>IFERROR(IF(Q99="","",ROUND(Q99/$Q$11*100,2)),"")</f>
        <v/>
      </c>
      <c r="S99" s="54">
        <f>IFERROR(IF(R99="","",ROUND(R99*$S$11,2)),"")</f>
        <v/>
      </c>
      <c r="T99" s="265" t="n"/>
      <c r="U99" s="46" t="n"/>
      <c r="V99" s="268" t="n"/>
      <c r="W99" s="272">
        <f>IF(COUNT($T99:$V99)=0,"",SUM($T99:$V99))</f>
        <v/>
      </c>
      <c r="X99" s="352">
        <f>IFERROR(IF(W99="","",ROUND((($T99/$T$11)*30 + ($U99/$U$11)*30 + ($V99/$V$11)*40),2)),"")</f>
        <v/>
      </c>
      <c r="Y99" s="54">
        <f>IFERROR(IF(X99="","",ROUND(X99*$Y$11,2)),"")</f>
        <v/>
      </c>
      <c r="Z99" s="55">
        <f>IFERROR(M99+S99+Y99,"")</f>
        <v/>
      </c>
      <c r="AA99" s="274">
        <f>IFERROR(VLOOKUP(Z99,'Helper(IMPORTANT!)'!$CQ$1:$CR$41,2,TRUE),"")</f>
        <v/>
      </c>
      <c r="AB99" s="170">
        <f t="array" ref="AB99">IF(AA99="", "", _xlfn.IFS(AA99&gt;=90, "A", AA99&gt;=80, "B", AA99&gt;=75, "C", AA99&gt;=65, "D", AA99&gt;=0, "E"))</f>
        <v/>
      </c>
      <c r="AD99" s="39" t="n"/>
      <c r="AG99" s="38" t="n"/>
      <c r="AH99" s="38" t="n"/>
      <c r="AI99" s="38" t="n"/>
    </row>
    <row r="100" ht="18" customHeight="1">
      <c r="A100" s="169" t="n">
        <v>37</v>
      </c>
      <c r="B100" s="442">
        <f>'INPUT DATA'!O47</f>
        <v/>
      </c>
      <c r="C100" s="673" t="n"/>
      <c r="D100" s="673" t="n"/>
      <c r="E100" s="674" t="n"/>
      <c r="F100" s="52" t="n"/>
      <c r="G100" s="49" t="n"/>
      <c r="H100" s="49" t="n"/>
      <c r="I100" s="49" t="n"/>
      <c r="J100" s="49" t="n"/>
      <c r="K100" s="48">
        <f>IF(COUNT($F100:$J100)=0,"",SUM($F100:$J100))</f>
        <v/>
      </c>
      <c r="L100" s="47">
        <f>IFERROR(IF(K100="","",ROUND(K100/$K$11*100,2)),"")</f>
        <v/>
      </c>
      <c r="M100" s="54">
        <f>IFERROR(IF(L100="","",ROUND(L100*$M$11,2)),"")</f>
        <v/>
      </c>
      <c r="N100" s="52" t="n"/>
      <c r="O100" s="49" t="n"/>
      <c r="P100" s="49" t="n"/>
      <c r="Q100" s="48">
        <f>IF(COUNT($N100:$P100)=0,"",SUM($N100:$P100))</f>
        <v/>
      </c>
      <c r="R100" s="47">
        <f>IFERROR(IF(Q100="","",ROUND(Q100/$Q$11*100,2)),"")</f>
        <v/>
      </c>
      <c r="S100" s="54">
        <f>IFERROR(IF(R100="","",ROUND(R100*$S$11,2)),"")</f>
        <v/>
      </c>
      <c r="T100" s="265" t="n"/>
      <c r="U100" s="46" t="n"/>
      <c r="V100" s="268" t="n"/>
      <c r="W100" s="272">
        <f>IF(COUNT($T100:$V100)=0,"",SUM($T100:$V100))</f>
        <v/>
      </c>
      <c r="X100" s="352">
        <f>IFERROR(IF(W100="","",ROUND((($T100/$T$11)*30 + ($U100/$U$11)*30 + ($V100/$V$11)*40),2)),"")</f>
        <v/>
      </c>
      <c r="Y100" s="54">
        <f>IFERROR(IF(X100="","",ROUND(X100*$Y$11,2)),"")</f>
        <v/>
      </c>
      <c r="Z100" s="55">
        <f>IFERROR(M100+S100+Y100,"")</f>
        <v/>
      </c>
      <c r="AA100" s="274">
        <f>IFERROR(VLOOKUP(Z100,'Helper(IMPORTANT!)'!$CQ$1:$CR$41,2,TRUE),"")</f>
        <v/>
      </c>
      <c r="AB100" s="170">
        <f t="array" ref="AB100">IF(AA100="", "", _xlfn.IFS(AA100&gt;=90, "A", AA100&gt;=80, "B", AA100&gt;=75, "C", AA100&gt;=65, "D", AA100&gt;=0, "E"))</f>
        <v/>
      </c>
      <c r="AD100" s="39" t="n"/>
      <c r="AG100" s="38" t="n"/>
      <c r="AH100" s="38" t="n"/>
      <c r="AI100" s="38" t="n"/>
    </row>
    <row r="101" ht="18" customHeight="1">
      <c r="A101" s="169" t="n">
        <v>38</v>
      </c>
      <c r="B101" s="442">
        <f>'INPUT DATA'!O48</f>
        <v/>
      </c>
      <c r="C101" s="673" t="n"/>
      <c r="D101" s="673" t="n"/>
      <c r="E101" s="674" t="n"/>
      <c r="F101" s="52" t="n"/>
      <c r="G101" s="49" t="n"/>
      <c r="H101" s="49" t="n"/>
      <c r="I101" s="49" t="n"/>
      <c r="J101" s="49" t="n"/>
      <c r="K101" s="48">
        <f>IF(COUNT($F101:$J101)=0,"",SUM($F101:$J101))</f>
        <v/>
      </c>
      <c r="L101" s="47">
        <f>IFERROR(IF(K101="","",ROUND(K101/$K$11*100,2)),"")</f>
        <v/>
      </c>
      <c r="M101" s="54">
        <f>IFERROR(IF(L101="","",ROUND(L101*$M$11,2)),"")</f>
        <v/>
      </c>
      <c r="N101" s="52" t="n"/>
      <c r="O101" s="49" t="n"/>
      <c r="P101" s="49" t="n"/>
      <c r="Q101" s="48">
        <f>IF(COUNT($N101:$P101)=0,"",SUM($N101:$P101))</f>
        <v/>
      </c>
      <c r="R101" s="47">
        <f>IFERROR(IF(Q101="","",ROUND(Q101/$Q$11*100,2)),"")</f>
        <v/>
      </c>
      <c r="S101" s="54">
        <f>IFERROR(IF(R101="","",ROUND(R101*$S$11,2)),"")</f>
        <v/>
      </c>
      <c r="T101" s="265" t="n"/>
      <c r="U101" s="46" t="n"/>
      <c r="V101" s="268" t="n"/>
      <c r="W101" s="272">
        <f>IF(COUNT($T101:$V101)=0,"",SUM($T101:$V101))</f>
        <v/>
      </c>
      <c r="X101" s="352">
        <f>IFERROR(IF(W101="","",ROUND((($T101/$T$11)*30 + ($U101/$U$11)*30 + ($V101/$V$11)*40),2)),"")</f>
        <v/>
      </c>
      <c r="Y101" s="54">
        <f>IFERROR(IF(X101="","",ROUND(X101*$Y$11,2)),"")</f>
        <v/>
      </c>
      <c r="Z101" s="55">
        <f>IFERROR(M101+S101+Y101,"")</f>
        <v/>
      </c>
      <c r="AA101" s="274">
        <f>IFERROR(VLOOKUP(Z101,'Helper(IMPORTANT!)'!$CQ$1:$CR$41,2,TRUE),"")</f>
        <v/>
      </c>
      <c r="AB101" s="170">
        <f t="array" ref="AB101">IF(AA101="", "", _xlfn.IFS(AA101&gt;=90, "A", AA101&gt;=80, "B", AA101&gt;=75, "C", AA101&gt;=65, "D", AA101&gt;=0, "E"))</f>
        <v/>
      </c>
      <c r="AD101" s="39" t="n"/>
      <c r="AG101" s="38" t="n"/>
      <c r="AH101" s="38" t="n"/>
      <c r="AI101" s="38" t="n"/>
    </row>
    <row r="102" ht="18" customHeight="1">
      <c r="A102" s="169" t="n">
        <v>39</v>
      </c>
      <c r="B102" s="442">
        <f>'INPUT DATA'!O49</f>
        <v/>
      </c>
      <c r="C102" s="673" t="n"/>
      <c r="D102" s="673" t="n"/>
      <c r="E102" s="674" t="n"/>
      <c r="F102" s="52" t="n"/>
      <c r="G102" s="49" t="n"/>
      <c r="H102" s="49" t="n"/>
      <c r="I102" s="49" t="n"/>
      <c r="J102" s="49" t="n"/>
      <c r="K102" s="48">
        <f>IF(COUNT($F102:$J102)=0,"",SUM($F102:$J102))</f>
        <v/>
      </c>
      <c r="L102" s="47">
        <f>IFERROR(IF(K102="","",ROUND(K102/$K$11*100,2)),"")</f>
        <v/>
      </c>
      <c r="M102" s="54">
        <f>IFERROR(IF(L102="","",ROUND(L102*$M$11,2)),"")</f>
        <v/>
      </c>
      <c r="N102" s="52" t="n"/>
      <c r="O102" s="49" t="n"/>
      <c r="P102" s="49" t="n"/>
      <c r="Q102" s="48">
        <f>IF(COUNT($N102:$P102)=0,"",SUM($N102:$P102))</f>
        <v/>
      </c>
      <c r="R102" s="47">
        <f>IFERROR(IF(Q102="","",ROUND(Q102/$Q$11*100,2)),"")</f>
        <v/>
      </c>
      <c r="S102" s="54">
        <f>IFERROR(IF(R102="","",ROUND(R102*$S$11,2)),"")</f>
        <v/>
      </c>
      <c r="T102" s="265" t="n"/>
      <c r="U102" s="46" t="n"/>
      <c r="V102" s="268" t="n"/>
      <c r="W102" s="272">
        <f>IF(COUNT($T102:$V102)=0,"",SUM($T102:$V102))</f>
        <v/>
      </c>
      <c r="X102" s="352">
        <f>IFERROR(IF(W102="","",ROUND((($T102/$T$11)*30 + ($U102/$U$11)*30 + ($V102/$V$11)*40),2)),"")</f>
        <v/>
      </c>
      <c r="Y102" s="54">
        <f>IFERROR(IF(X102="","",ROUND(X102*$Y$11,2)),"")</f>
        <v/>
      </c>
      <c r="Z102" s="55">
        <f>IFERROR(M102+S102+Y102,"")</f>
        <v/>
      </c>
      <c r="AA102" s="274">
        <f>IFERROR(VLOOKUP(Z102,'Helper(IMPORTANT!)'!$CQ$1:$CR$41,2,TRUE),"")</f>
        <v/>
      </c>
      <c r="AB102" s="170">
        <f t="array" ref="AB102">IF(AA102="", "", _xlfn.IFS(AA102&gt;=90, "A", AA102&gt;=80, "B", AA102&gt;=75, "C", AA102&gt;=65, "D", AA102&gt;=0, "E"))</f>
        <v/>
      </c>
      <c r="AD102" s="39" t="n"/>
      <c r="AG102" s="38" t="n"/>
      <c r="AH102" s="38" t="n"/>
      <c r="AI102" s="38" t="n"/>
    </row>
    <row r="103" ht="18" customHeight="1">
      <c r="A103" s="169" t="n">
        <v>40</v>
      </c>
      <c r="B103" s="442">
        <f>'INPUT DATA'!O50</f>
        <v/>
      </c>
      <c r="C103" s="673" t="n"/>
      <c r="D103" s="673" t="n"/>
      <c r="E103" s="674" t="n"/>
      <c r="F103" s="52" t="n"/>
      <c r="G103" s="49" t="n"/>
      <c r="H103" s="49" t="n"/>
      <c r="I103" s="49" t="n"/>
      <c r="J103" s="49" t="n"/>
      <c r="K103" s="48">
        <f>IF(COUNT($F103:$J103)=0,"",SUM($F103:$J103))</f>
        <v/>
      </c>
      <c r="L103" s="47">
        <f>IFERROR(IF(K103="","",ROUND(K103/$K$11*100,2)),"")</f>
        <v/>
      </c>
      <c r="M103" s="54">
        <f>IFERROR(IF(L103="","",ROUND(L103*$M$11,2)),"")</f>
        <v/>
      </c>
      <c r="N103" s="52" t="n"/>
      <c r="O103" s="49" t="n"/>
      <c r="P103" s="49" t="n"/>
      <c r="Q103" s="48">
        <f>IF(COUNT($N103:$P103)=0,"",SUM($N103:$P103))</f>
        <v/>
      </c>
      <c r="R103" s="47">
        <f>IFERROR(IF(Q103="","",ROUND(Q103/$Q$11*100,2)),"")</f>
        <v/>
      </c>
      <c r="S103" s="54">
        <f>IFERROR(IF(R103="","",ROUND(R103*$S$11,2)),"")</f>
        <v/>
      </c>
      <c r="T103" s="265" t="n"/>
      <c r="U103" s="46" t="n"/>
      <c r="V103" s="268" t="n"/>
      <c r="W103" s="272">
        <f>IF(COUNT($T103:$V103)=0,"",SUM($T103:$V103))</f>
        <v/>
      </c>
      <c r="X103" s="352">
        <f>IFERROR(IF(W103="","",ROUND((($T103/$T$11)*30 + ($U103/$U$11)*30 + ($V103/$V$11)*40),2)),"")</f>
        <v/>
      </c>
      <c r="Y103" s="54">
        <f>IFERROR(IF(X103="","",ROUND(X103*$Y$11,2)),"")</f>
        <v/>
      </c>
      <c r="Z103" s="55">
        <f>IFERROR(M103+S103+Y103,"")</f>
        <v/>
      </c>
      <c r="AA103" s="274">
        <f>IFERROR(VLOOKUP(Z103,'Helper(IMPORTANT!)'!$CQ$1:$CR$41,2,TRUE),"")</f>
        <v/>
      </c>
      <c r="AB103" s="170">
        <f t="array" ref="AB103">IF(AA103="", "", _xlfn.IFS(AA103&gt;=90, "A", AA103&gt;=80, "B", AA103&gt;=75, "C", AA103&gt;=65, "D", AA103&gt;=0, "E"))</f>
        <v/>
      </c>
      <c r="AD103" s="39" t="n"/>
      <c r="AG103" s="38" t="n"/>
      <c r="AH103" s="38" t="n"/>
      <c r="AI103" s="38" t="n"/>
    </row>
    <row r="104" ht="18" customHeight="1">
      <c r="A104" s="169" t="n">
        <v>41</v>
      </c>
      <c r="B104" s="442">
        <f>'INPUT DATA'!O51</f>
        <v/>
      </c>
      <c r="C104" s="673" t="n"/>
      <c r="D104" s="673" t="n"/>
      <c r="E104" s="674" t="n"/>
      <c r="F104" s="52" t="n"/>
      <c r="G104" s="49" t="n"/>
      <c r="H104" s="49" t="n"/>
      <c r="I104" s="49" t="n"/>
      <c r="J104" s="49" t="n"/>
      <c r="K104" s="48">
        <f>IF(COUNT($F104:$J104)=0,"",SUM($F104:$J104))</f>
        <v/>
      </c>
      <c r="L104" s="47">
        <f>IFERROR(IF(K104="","",ROUND(K104/$K$11*100,2)),"")</f>
        <v/>
      </c>
      <c r="M104" s="54">
        <f>IFERROR(IF(L104="","",ROUND(L104*$M$11,2)),"")</f>
        <v/>
      </c>
      <c r="N104" s="52" t="n"/>
      <c r="O104" s="49" t="n"/>
      <c r="P104" s="49" t="n"/>
      <c r="Q104" s="48">
        <f>IF(COUNT($N104:$P104)=0,"",SUM($N104:$P104))</f>
        <v/>
      </c>
      <c r="R104" s="47">
        <f>IFERROR(IF(Q104="","",ROUND(Q104/$Q$11*100,2)),"")</f>
        <v/>
      </c>
      <c r="S104" s="54">
        <f>IFERROR(IF(R104="","",ROUND(R104*$S$11,2)),"")</f>
        <v/>
      </c>
      <c r="T104" s="265" t="n"/>
      <c r="U104" s="46" t="n"/>
      <c r="V104" s="268" t="n"/>
      <c r="W104" s="272">
        <f>IF(COUNT($T104:$V104)=0,"",SUM($T104:$V104))</f>
        <v/>
      </c>
      <c r="X104" s="352">
        <f>IFERROR(IF(W104="","",ROUND((($T104/$T$11)*30 + ($U104/$U$11)*30 + ($V104/$V$11)*40),2)),"")</f>
        <v/>
      </c>
      <c r="Y104" s="54">
        <f>IFERROR(IF(X104="","",ROUND(X104*$Y$11,2)),"")</f>
        <v/>
      </c>
      <c r="Z104" s="55">
        <f>IFERROR(M104+S104+Y104,"")</f>
        <v/>
      </c>
      <c r="AA104" s="274">
        <f>IFERROR(VLOOKUP(Z104,'Helper(IMPORTANT!)'!$CQ$1:$CR$41,2,TRUE),"")</f>
        <v/>
      </c>
      <c r="AB104" s="170">
        <f t="array" ref="AB104">IF(AA104="", "", _xlfn.IFS(AA104&gt;=90, "A", AA104&gt;=80, "B", AA104&gt;=75, "C", AA104&gt;=65, "D", AA104&gt;=0, "E"))</f>
        <v/>
      </c>
      <c r="AD104" s="39" t="n"/>
      <c r="AG104" s="38" t="n"/>
      <c r="AH104" s="38" t="n"/>
      <c r="AI104" s="38" t="n"/>
    </row>
    <row r="105" ht="18" customHeight="1">
      <c r="A105" s="169" t="n">
        <v>42</v>
      </c>
      <c r="B105" s="442">
        <f>'INPUT DATA'!O52</f>
        <v/>
      </c>
      <c r="C105" s="673" t="n"/>
      <c r="D105" s="673" t="n"/>
      <c r="E105" s="674" t="n"/>
      <c r="F105" s="52" t="n"/>
      <c r="G105" s="49" t="n"/>
      <c r="H105" s="49" t="n"/>
      <c r="I105" s="49" t="n"/>
      <c r="J105" s="49" t="n"/>
      <c r="K105" s="48">
        <f>IF(COUNT($F105:$J105)=0,"",SUM($F105:$J105))</f>
        <v/>
      </c>
      <c r="L105" s="47">
        <f>IFERROR(IF(K105="","",ROUND(K105/$K$11*100,2)),"")</f>
        <v/>
      </c>
      <c r="M105" s="54">
        <f>IFERROR(IF(L105="","",ROUND(L105*$M$11,2)),"")</f>
        <v/>
      </c>
      <c r="N105" s="52" t="n"/>
      <c r="O105" s="49" t="n"/>
      <c r="P105" s="49" t="n"/>
      <c r="Q105" s="48">
        <f>IF(COUNT($N105:$P105)=0,"",SUM($N105:$P105))</f>
        <v/>
      </c>
      <c r="R105" s="47">
        <f>IFERROR(IF(Q105="","",ROUND(Q105/$Q$11*100,2)),"")</f>
        <v/>
      </c>
      <c r="S105" s="54">
        <f>IFERROR(IF(R105="","",ROUND(R105*$S$11,2)),"")</f>
        <v/>
      </c>
      <c r="T105" s="265" t="n"/>
      <c r="U105" s="46" t="n"/>
      <c r="V105" s="268" t="n"/>
      <c r="W105" s="272">
        <f>IF(COUNT($T105:$V105)=0,"",SUM($T105:$V105))</f>
        <v/>
      </c>
      <c r="X105" s="352">
        <f>IFERROR(IF(W105="","",ROUND((($T105/$T$11)*30 + ($U105/$U$11)*30 + ($V105/$V$11)*40),2)),"")</f>
        <v/>
      </c>
      <c r="Y105" s="54">
        <f>IFERROR(IF(X105="","",ROUND(X105*$Y$11,2)),"")</f>
        <v/>
      </c>
      <c r="Z105" s="55">
        <f>IFERROR(M105+S105+Y105,"")</f>
        <v/>
      </c>
      <c r="AA105" s="274">
        <f>IFERROR(VLOOKUP(Z105,'Helper(IMPORTANT!)'!$CQ$1:$CR$41,2,TRUE),"")</f>
        <v/>
      </c>
      <c r="AB105" s="170">
        <f t="array" ref="AB105">IF(AA105="", "", _xlfn.IFS(AA105&gt;=90, "A", AA105&gt;=80, "B", AA105&gt;=75, "C", AA105&gt;=65, "D", AA105&gt;=0, "E"))</f>
        <v/>
      </c>
      <c r="AD105" s="39" t="n"/>
      <c r="AG105" s="38" t="n"/>
      <c r="AH105" s="38" t="n"/>
      <c r="AI105" s="38" t="n"/>
    </row>
    <row r="106" ht="18" customHeight="1">
      <c r="A106" s="169" t="n">
        <v>43</v>
      </c>
      <c r="B106" s="442">
        <f>'INPUT DATA'!O53</f>
        <v/>
      </c>
      <c r="C106" s="673" t="n"/>
      <c r="D106" s="673" t="n"/>
      <c r="E106" s="674" t="n"/>
      <c r="F106" s="52" t="n"/>
      <c r="G106" s="49" t="n"/>
      <c r="H106" s="49" t="n"/>
      <c r="I106" s="49" t="n"/>
      <c r="J106" s="49" t="n"/>
      <c r="K106" s="48">
        <f>IF(COUNT($F106:$J106)=0,"",SUM($F106:$J106))</f>
        <v/>
      </c>
      <c r="L106" s="47">
        <f>IFERROR(IF(K106="","",ROUND(K106/$K$11*100,2)),"")</f>
        <v/>
      </c>
      <c r="M106" s="54">
        <f>IFERROR(IF(L106="","",ROUND(L106*$M$11,2)),"")</f>
        <v/>
      </c>
      <c r="N106" s="52" t="n"/>
      <c r="O106" s="49" t="n"/>
      <c r="P106" s="49" t="n"/>
      <c r="Q106" s="48">
        <f>IF(COUNT($N106:$P106)=0,"",SUM($N106:$P106))</f>
        <v/>
      </c>
      <c r="R106" s="47">
        <f>IFERROR(IF(Q106="","",ROUND(Q106/$Q$11*100,2)),"")</f>
        <v/>
      </c>
      <c r="S106" s="54">
        <f>IFERROR(IF(R106="","",ROUND(R106*$S$11,2)),"")</f>
        <v/>
      </c>
      <c r="T106" s="265" t="n"/>
      <c r="U106" s="46" t="n"/>
      <c r="V106" s="268" t="n"/>
      <c r="W106" s="272">
        <f>IF(COUNT($T106:$V106)=0,"",SUM($T106:$V106))</f>
        <v/>
      </c>
      <c r="X106" s="352">
        <f>IFERROR(IF(W106="","",ROUND((($T106/$T$11)*30 + ($U106/$U$11)*30 + ($V106/$V$11)*40),2)),"")</f>
        <v/>
      </c>
      <c r="Y106" s="54">
        <f>IFERROR(IF(X106="","",ROUND(X106*$Y$11,2)),"")</f>
        <v/>
      </c>
      <c r="Z106" s="55">
        <f>IFERROR(M106+S106+Y106,"")</f>
        <v/>
      </c>
      <c r="AA106" s="274">
        <f>IFERROR(VLOOKUP(Z106,'Helper(IMPORTANT!)'!$CQ$1:$CR$41,2,TRUE),"")</f>
        <v/>
      </c>
      <c r="AB106" s="170">
        <f t="array" ref="AB106">IF(AA106="", "", _xlfn.IFS(AA106&gt;=90, "A", AA106&gt;=80, "B", AA106&gt;=75, "C", AA106&gt;=65, "D", AA106&gt;=0, "E"))</f>
        <v/>
      </c>
      <c r="AD106" s="39" t="n"/>
      <c r="AG106" s="38" t="n"/>
      <c r="AH106" s="38" t="n"/>
      <c r="AI106" s="38" t="n"/>
    </row>
    <row r="107" ht="18" customHeight="1">
      <c r="A107" s="169" t="n">
        <v>44</v>
      </c>
      <c r="B107" s="442">
        <f>'INPUT DATA'!O54</f>
        <v/>
      </c>
      <c r="C107" s="673" t="n"/>
      <c r="D107" s="673" t="n"/>
      <c r="E107" s="674" t="n"/>
      <c r="F107" s="52" t="n"/>
      <c r="G107" s="49" t="n"/>
      <c r="H107" s="49" t="n"/>
      <c r="I107" s="49" t="n"/>
      <c r="J107" s="49" t="n"/>
      <c r="K107" s="48">
        <f>IF(COUNT($F107:$J107)=0,"",SUM($F107:$J107))</f>
        <v/>
      </c>
      <c r="L107" s="47">
        <f>IFERROR(IF(K107="","",ROUND(K107/$K$11*100,2)),"")</f>
        <v/>
      </c>
      <c r="M107" s="54">
        <f>IFERROR(IF(L107="","",ROUND(L107*$M$11,2)),"")</f>
        <v/>
      </c>
      <c r="N107" s="52" t="n"/>
      <c r="O107" s="49" t="n"/>
      <c r="P107" s="49" t="n"/>
      <c r="Q107" s="48">
        <f>IF(COUNT($N107:$P107)=0,"",SUM($N107:$P107))</f>
        <v/>
      </c>
      <c r="R107" s="47">
        <f>IFERROR(IF(Q107="","",ROUND(Q107/$Q$11*100,2)),"")</f>
        <v/>
      </c>
      <c r="S107" s="54">
        <f>IFERROR(IF(R107="","",ROUND(R107*$S$11,2)),"")</f>
        <v/>
      </c>
      <c r="T107" s="265" t="n"/>
      <c r="U107" s="46" t="n"/>
      <c r="V107" s="268" t="n"/>
      <c r="W107" s="272">
        <f>IF(COUNT($T107:$V107)=0,"",SUM($T107:$V107))</f>
        <v/>
      </c>
      <c r="X107" s="352">
        <f>IFERROR(IF(W107="","",ROUND((($T107/$T$11)*30 + ($U107/$U$11)*30 + ($V107/$V$11)*40),2)),"")</f>
        <v/>
      </c>
      <c r="Y107" s="54">
        <f>IFERROR(IF(X107="","",ROUND(X107*$Y$11,2)),"")</f>
        <v/>
      </c>
      <c r="Z107" s="55">
        <f>IFERROR(M107+S107+Y107,"")</f>
        <v/>
      </c>
      <c r="AA107" s="274">
        <f>IFERROR(VLOOKUP(Z107,'Helper(IMPORTANT!)'!$CQ$1:$CR$41,2,TRUE),"")</f>
        <v/>
      </c>
      <c r="AB107" s="170">
        <f t="array" ref="AB107">IF(AA107="", "", _xlfn.IFS(AA107&gt;=90, "A", AA107&gt;=80, "B", AA107&gt;=75, "C", AA107&gt;=65, "D", AA107&gt;=0, "E"))</f>
        <v/>
      </c>
      <c r="AD107" s="39" t="n"/>
      <c r="AG107" s="38" t="n"/>
      <c r="AH107" s="38" t="n"/>
      <c r="AI107" s="38" t="n"/>
    </row>
    <row r="108" ht="18" customHeight="1">
      <c r="A108" s="169" t="n">
        <v>45</v>
      </c>
      <c r="B108" s="442">
        <f>'INPUT DATA'!O55</f>
        <v/>
      </c>
      <c r="C108" s="673" t="n"/>
      <c r="D108" s="673" t="n"/>
      <c r="E108" s="674" t="n"/>
      <c r="F108" s="52" t="n"/>
      <c r="G108" s="49" t="n"/>
      <c r="H108" s="49" t="n"/>
      <c r="I108" s="49" t="n"/>
      <c r="J108" s="49" t="n"/>
      <c r="K108" s="48">
        <f>IF(COUNT($F108:$J108)=0,"",SUM($F108:$J108))</f>
        <v/>
      </c>
      <c r="L108" s="47">
        <f>IFERROR(IF(K108="","",ROUND(K108/$K$11*100,2)),"")</f>
        <v/>
      </c>
      <c r="M108" s="54">
        <f>IFERROR(IF(L108="","",ROUND(L108*$M$11,2)),"")</f>
        <v/>
      </c>
      <c r="N108" s="52" t="n"/>
      <c r="O108" s="49" t="n"/>
      <c r="P108" s="49" t="n"/>
      <c r="Q108" s="48">
        <f>IF(COUNT($N108:$P108)=0,"",SUM($N108:$P108))</f>
        <v/>
      </c>
      <c r="R108" s="47">
        <f>IFERROR(IF(Q108="","",ROUND(Q108/$Q$11*100,2)),"")</f>
        <v/>
      </c>
      <c r="S108" s="54">
        <f>IFERROR(IF(R108="","",ROUND(R108*$S$11,2)),"")</f>
        <v/>
      </c>
      <c r="T108" s="265" t="n"/>
      <c r="U108" s="46" t="n"/>
      <c r="V108" s="268" t="n"/>
      <c r="W108" s="272">
        <f>IF(COUNT($T108:$V108)=0,"",SUM($T108:$V108))</f>
        <v/>
      </c>
      <c r="X108" s="352">
        <f>IFERROR(IF(W108="","",ROUND((($T108/$T$11)*30 + ($U108/$U$11)*30 + ($V108/$V$11)*40),2)),"")</f>
        <v/>
      </c>
      <c r="Y108" s="54">
        <f>IFERROR(IF(X108="","",ROUND(X108*$Y$11,2)),"")</f>
        <v/>
      </c>
      <c r="Z108" s="55">
        <f>IFERROR(M108+S108+Y108,"")</f>
        <v/>
      </c>
      <c r="AA108" s="274">
        <f>IFERROR(VLOOKUP(Z108,'Helper(IMPORTANT!)'!$CQ$1:$CR$41,2,TRUE),"")</f>
        <v/>
      </c>
      <c r="AB108" s="170">
        <f t="array" ref="AB108">IF(AA108="", "", _xlfn.IFS(AA108&gt;=90, "A", AA108&gt;=80, "B", AA108&gt;=75, "C", AA108&gt;=65, "D", AA108&gt;=0, "E"))</f>
        <v/>
      </c>
      <c r="AD108" s="39" t="n"/>
      <c r="AG108" s="38" t="n"/>
      <c r="AH108" s="38" t="n"/>
      <c r="AI108" s="38" t="n"/>
    </row>
    <row r="109" ht="18" customHeight="1">
      <c r="A109" s="169" t="n">
        <v>46</v>
      </c>
      <c r="B109" s="442">
        <f>'INPUT DATA'!O56</f>
        <v/>
      </c>
      <c r="C109" s="673" t="n"/>
      <c r="D109" s="673" t="n"/>
      <c r="E109" s="674" t="n"/>
      <c r="F109" s="52" t="n"/>
      <c r="G109" s="49" t="n"/>
      <c r="H109" s="49" t="n"/>
      <c r="I109" s="49" t="n"/>
      <c r="J109" s="49" t="n"/>
      <c r="K109" s="48">
        <f>IF(COUNT($F109:$J109)=0,"",SUM($F109:$J109))</f>
        <v/>
      </c>
      <c r="L109" s="47">
        <f>IFERROR(IF(K109="","",ROUND(K109/$K$11*100,2)),"")</f>
        <v/>
      </c>
      <c r="M109" s="54">
        <f>IFERROR(IF(L109="","",ROUND(L109*$M$11,2)),"")</f>
        <v/>
      </c>
      <c r="N109" s="52" t="n"/>
      <c r="O109" s="49" t="n"/>
      <c r="P109" s="49" t="n"/>
      <c r="Q109" s="48">
        <f>IF(COUNT($N109:$P109)=0,"",SUM($N109:$P109))</f>
        <v/>
      </c>
      <c r="R109" s="47">
        <f>IFERROR(IF(Q109="","",ROUND(Q109/$Q$11*100,2)),"")</f>
        <v/>
      </c>
      <c r="S109" s="54">
        <f>IFERROR(IF(R109="","",ROUND(R109*$S$11,2)),"")</f>
        <v/>
      </c>
      <c r="T109" s="265" t="n"/>
      <c r="U109" s="46" t="n"/>
      <c r="V109" s="268" t="n"/>
      <c r="W109" s="272">
        <f>IF(COUNT($T109:$V109)=0,"",SUM($T109:$V109))</f>
        <v/>
      </c>
      <c r="X109" s="352">
        <f>IFERROR(IF(W109="","",ROUND((($T109/$T$11)*30 + ($U109/$U$11)*30 + ($V109/$V$11)*40),2)),"")</f>
        <v/>
      </c>
      <c r="Y109" s="54">
        <f>IFERROR(IF(X109="","",ROUND(X109*$Y$11,2)),"")</f>
        <v/>
      </c>
      <c r="Z109" s="55">
        <f>IFERROR(M109+S109+Y109,"")</f>
        <v/>
      </c>
      <c r="AA109" s="274">
        <f>IFERROR(VLOOKUP(Z109,'Helper(IMPORTANT!)'!$CQ$1:$CR$41,2,TRUE),"")</f>
        <v/>
      </c>
      <c r="AB109" s="170">
        <f t="array" ref="AB109">IF(AA109="", "", _xlfn.IFS(AA109&gt;=90, "A", AA109&gt;=80, "B", AA109&gt;=75, "C", AA109&gt;=65, "D", AA109&gt;=0, "E"))</f>
        <v/>
      </c>
      <c r="AD109" s="39" t="n"/>
      <c r="AG109" s="38" t="n"/>
      <c r="AH109" s="38" t="n"/>
      <c r="AI109" s="38" t="n"/>
    </row>
    <row r="110" ht="18" customHeight="1">
      <c r="A110" s="169" t="n">
        <v>47</v>
      </c>
      <c r="B110" s="442">
        <f>'INPUT DATA'!O57</f>
        <v/>
      </c>
      <c r="C110" s="673" t="n"/>
      <c r="D110" s="673" t="n"/>
      <c r="E110" s="674" t="n"/>
      <c r="F110" s="52" t="n"/>
      <c r="G110" s="49" t="n"/>
      <c r="H110" s="49" t="n"/>
      <c r="I110" s="49" t="n"/>
      <c r="J110" s="49" t="n"/>
      <c r="K110" s="48">
        <f>IF(COUNT($F110:$J110)=0,"",SUM($F110:$J110))</f>
        <v/>
      </c>
      <c r="L110" s="47">
        <f>IFERROR(IF(K110="","",ROUND(K110/$K$11*100,2)),"")</f>
        <v/>
      </c>
      <c r="M110" s="54">
        <f>IFERROR(IF(L110="","",ROUND(L110*$M$11,2)),"")</f>
        <v/>
      </c>
      <c r="N110" s="52" t="n"/>
      <c r="O110" s="49" t="n"/>
      <c r="P110" s="49" t="n"/>
      <c r="Q110" s="48">
        <f>IF(COUNT($N110:$P110)=0,"",SUM($N110:$P110))</f>
        <v/>
      </c>
      <c r="R110" s="47">
        <f>IFERROR(IF(Q110="","",ROUND(Q110/$Q$11*100,2)),"")</f>
        <v/>
      </c>
      <c r="S110" s="54">
        <f>IFERROR(IF(R110="","",ROUND(R110*$S$11,2)),"")</f>
        <v/>
      </c>
      <c r="T110" s="265" t="n"/>
      <c r="U110" s="46" t="n"/>
      <c r="V110" s="268" t="n"/>
      <c r="W110" s="272">
        <f>IF(COUNT($T110:$V110)=0,"",SUM($T110:$V110))</f>
        <v/>
      </c>
      <c r="X110" s="352">
        <f>IFERROR(IF(W110="","",ROUND((($T110/$T$11)*30 + ($U110/$U$11)*30 + ($V110/$V$11)*40),2)),"")</f>
        <v/>
      </c>
      <c r="Y110" s="54">
        <f>IFERROR(IF(X110="","",ROUND(X110*$Y$11,2)),"")</f>
        <v/>
      </c>
      <c r="Z110" s="55">
        <f>IFERROR(M110+S110+Y110,"")</f>
        <v/>
      </c>
      <c r="AA110" s="274">
        <f>IFERROR(VLOOKUP(Z110,'Helper(IMPORTANT!)'!$CQ$1:$CR$41,2,TRUE),"")</f>
        <v/>
      </c>
      <c r="AB110" s="170">
        <f t="array" ref="AB110">IF(AA110="", "", _xlfn.IFS(AA110&gt;=90, "A", AA110&gt;=80, "B", AA110&gt;=75, "C", AA110&gt;=65, "D", AA110&gt;=0, "E"))</f>
        <v/>
      </c>
      <c r="AD110" s="39" t="n"/>
      <c r="AG110" s="38" t="n"/>
      <c r="AH110" s="38" t="n"/>
      <c r="AI110" s="38" t="n"/>
    </row>
    <row r="111" ht="18" customHeight="1">
      <c r="A111" s="169" t="n">
        <v>48</v>
      </c>
      <c r="B111" s="442">
        <f>'INPUT DATA'!O58</f>
        <v/>
      </c>
      <c r="C111" s="673" t="n"/>
      <c r="D111" s="673" t="n"/>
      <c r="E111" s="674" t="n"/>
      <c r="F111" s="52" t="n"/>
      <c r="G111" s="49" t="n"/>
      <c r="H111" s="49" t="n"/>
      <c r="I111" s="49" t="n"/>
      <c r="J111" s="49" t="n"/>
      <c r="K111" s="48">
        <f>IF(COUNT($F111:$J111)=0,"",SUM($F111:$J111))</f>
        <v/>
      </c>
      <c r="L111" s="47">
        <f>IFERROR(IF(K111="","",ROUND(K111/$K$11*100,2)),"")</f>
        <v/>
      </c>
      <c r="M111" s="54">
        <f>IFERROR(IF(L111="","",ROUND(L111*$M$11,2)),"")</f>
        <v/>
      </c>
      <c r="N111" s="52" t="n"/>
      <c r="O111" s="49" t="n"/>
      <c r="P111" s="49" t="n"/>
      <c r="Q111" s="48">
        <f>IF(COUNT($N111:$P111)=0,"",SUM($N111:$P111))</f>
        <v/>
      </c>
      <c r="R111" s="47">
        <f>IFERROR(IF(Q111="","",ROUND(Q111/$Q$11*100,2)),"")</f>
        <v/>
      </c>
      <c r="S111" s="54">
        <f>IFERROR(IF(R111="","",ROUND(R111*$S$11,2)),"")</f>
        <v/>
      </c>
      <c r="T111" s="265" t="n"/>
      <c r="U111" s="46" t="n"/>
      <c r="V111" s="268" t="n"/>
      <c r="W111" s="272">
        <f>IF(COUNT($T111:$V111)=0,"",SUM($T111:$V111))</f>
        <v/>
      </c>
      <c r="X111" s="352">
        <f>IFERROR(IF(W111="","",ROUND((($T111/$T$11)*30 + ($U111/$U$11)*30 + ($V111/$V$11)*40),2)),"")</f>
        <v/>
      </c>
      <c r="Y111" s="54">
        <f>IFERROR(IF(X111="","",ROUND(X111*$Y$11,2)),"")</f>
        <v/>
      </c>
      <c r="Z111" s="55">
        <f>IFERROR(M111+S111+Y111,"")</f>
        <v/>
      </c>
      <c r="AA111" s="274">
        <f>IFERROR(VLOOKUP(Z111,'Helper(IMPORTANT!)'!$CQ$1:$CR$41,2,TRUE),"")</f>
        <v/>
      </c>
      <c r="AB111" s="170">
        <f t="array" ref="AB111">IF(AA111="", "", _xlfn.IFS(AA111&gt;=90, "A", AA111&gt;=80, "B", AA111&gt;=75, "C", AA111&gt;=65, "D", AA111&gt;=0, "E"))</f>
        <v/>
      </c>
      <c r="AD111" s="39" t="n"/>
      <c r="AG111" s="38" t="n"/>
      <c r="AH111" s="38" t="n"/>
      <c r="AI111" s="38" t="n"/>
    </row>
    <row r="112" ht="18" customHeight="1">
      <c r="A112" s="169" t="n">
        <v>49</v>
      </c>
      <c r="B112" s="442">
        <f>'INPUT DATA'!O59</f>
        <v/>
      </c>
      <c r="C112" s="673" t="n"/>
      <c r="D112" s="673" t="n"/>
      <c r="E112" s="674" t="n"/>
      <c r="F112" s="52" t="n"/>
      <c r="G112" s="49" t="n"/>
      <c r="H112" s="49" t="n"/>
      <c r="I112" s="49" t="n"/>
      <c r="J112" s="49" t="n"/>
      <c r="K112" s="48">
        <f>IF(COUNT($F112:$J112)=0,"",SUM($F112:$J112))</f>
        <v/>
      </c>
      <c r="L112" s="47">
        <f>IFERROR(IF(K112="","",ROUND(K112/$K$11*100,2)),"")</f>
        <v/>
      </c>
      <c r="M112" s="54">
        <f>IFERROR(IF(L112="","",ROUND(L112*$M$11,2)),"")</f>
        <v/>
      </c>
      <c r="N112" s="52" t="n"/>
      <c r="O112" s="49" t="n"/>
      <c r="P112" s="49" t="n"/>
      <c r="Q112" s="48">
        <f>IF(COUNT($N112:$P112)=0,"",SUM($N112:$P112))</f>
        <v/>
      </c>
      <c r="R112" s="47">
        <f>IFERROR(IF(Q112="","",ROUND(Q112/$Q$11*100,2)),"")</f>
        <v/>
      </c>
      <c r="S112" s="54">
        <f>IFERROR(IF(R112="","",ROUND(R112*$S$11,2)),"")</f>
        <v/>
      </c>
      <c r="T112" s="265" t="n"/>
      <c r="U112" s="46" t="n"/>
      <c r="V112" s="268" t="n"/>
      <c r="W112" s="272">
        <f>IF(COUNT($T112:$V112)=0,"",SUM($T112:$V112))</f>
        <v/>
      </c>
      <c r="X112" s="352">
        <f>IFERROR(IF(W112="","",ROUND((($T112/$T$11)*30 + ($U112/$U$11)*30 + ($V112/$V$11)*40),2)),"")</f>
        <v/>
      </c>
      <c r="Y112" s="54">
        <f>IFERROR(IF(X112="","",ROUND(X112*$Y$11,2)),"")</f>
        <v/>
      </c>
      <c r="Z112" s="55">
        <f>IFERROR(M112+S112+Y112,"")</f>
        <v/>
      </c>
      <c r="AA112" s="274">
        <f>IFERROR(VLOOKUP(Z112,'Helper(IMPORTANT!)'!$CQ$1:$CR$41,2,TRUE),"")</f>
        <v/>
      </c>
      <c r="AB112" s="170">
        <f t="array" ref="AB112">IF(AA112="", "", _xlfn.IFS(AA112&gt;=90, "A", AA112&gt;=80, "B", AA112&gt;=75, "C", AA112&gt;=65, "D", AA112&gt;=0, "E"))</f>
        <v/>
      </c>
      <c r="AG112" s="38" t="n"/>
      <c r="AH112" s="38" t="n"/>
      <c r="AI112" s="38" t="n"/>
    </row>
    <row r="113" ht="18" customHeight="1" thickBot="1">
      <c r="A113" s="172" t="n">
        <v>50</v>
      </c>
      <c r="B113" s="444">
        <f>'INPUT DATA'!O60</f>
        <v/>
      </c>
      <c r="C113" s="677" t="n"/>
      <c r="D113" s="677" t="n"/>
      <c r="E113" s="678" t="n"/>
      <c r="F113" s="173" t="n"/>
      <c r="G113" s="174" t="n"/>
      <c r="H113" s="174" t="n"/>
      <c r="I113" s="174" t="n"/>
      <c r="J113" s="174" t="n"/>
      <c r="K113" s="175">
        <f>IF(COUNT($F113:$J113)=0,"",SUM($F113:$J113))</f>
        <v/>
      </c>
      <c r="L113" s="176">
        <f>IFERROR(IF(K113="","",ROUND(K113/$K$11*100,2)),"")</f>
        <v/>
      </c>
      <c r="M113" s="177">
        <f>IFERROR(IF(L113="","",ROUND(L113*$M$11,2)),"")</f>
        <v/>
      </c>
      <c r="N113" s="173" t="n"/>
      <c r="O113" s="174" t="n"/>
      <c r="P113" s="174" t="n"/>
      <c r="Q113" s="175">
        <f>IF(COUNT($N113:$P113)=0,"",SUM($N113:$P113))</f>
        <v/>
      </c>
      <c r="R113" s="176">
        <f>IFERROR(IF(Q113="","",ROUND(Q113/$Q$11*100,2)),"")</f>
        <v/>
      </c>
      <c r="S113" s="177">
        <f>IFERROR(IF(R113="","",ROUND(R113*$S$11,2)),"")</f>
        <v/>
      </c>
      <c r="T113" s="266" t="n"/>
      <c r="U113" s="284" t="n"/>
      <c r="V113" s="269" t="n"/>
      <c r="W113" s="285">
        <f>IF(COUNT($T113:$V113)=0,"",SUM($T113:$V113))</f>
        <v/>
      </c>
      <c r="X113" s="353">
        <f>IFERROR(IF(W113="","",ROUND((($T113/$T$11)*30 + ($U113/$U$11)*30 + ($V113/$V$11)*40),2)),"")</f>
        <v/>
      </c>
      <c r="Y113" s="177">
        <f>IFERROR(IF(X113="","",ROUND(X113*$Y$11,2)),"")</f>
        <v/>
      </c>
      <c r="Z113" s="178">
        <f>IFERROR(M113+S113+Y113,"")</f>
        <v/>
      </c>
      <c r="AA113" s="286">
        <f>IFERROR(VLOOKUP(Z113,'Helper(IMPORTANT!)'!$CQ$1:$CR$41,2,TRUE),"")</f>
        <v/>
      </c>
      <c r="AB113" s="179">
        <f t="array" ref="AB113">IF(AA113="", "", _xlfn.IFS(AA113&gt;=90, "A", AA113&gt;=80, "B", AA113&gt;=75, "C", AA113&gt;=65, "D", AA113&gt;=0, "E"))</f>
        <v/>
      </c>
      <c r="AG113" s="38" t="n"/>
      <c r="AH113" s="38" t="n"/>
      <c r="AI113" s="38" t="n"/>
    </row>
    <row r="114" hidden="1" ht="13.9" customHeight="1">
      <c r="U114" s="283" t="n"/>
    </row>
    <row r="115" hidden="1" ht="13.9" customHeight="1">
      <c r="U115" s="267" t="n"/>
    </row>
    <row r="116" hidden="1" ht="13.9" customHeight="1">
      <c r="U116" s="267" t="n"/>
    </row>
    <row r="117" hidden="1" ht="13.9" customHeight="1">
      <c r="U117" s="282" t="n"/>
    </row>
    <row r="118" ht="13.9" customHeight="1"/>
    <row r="119" ht="13.9" customHeight="1"/>
    <row r="120" ht="13.9" customHeight="1"/>
    <row r="121" ht="13.9" customHeight="1"/>
    <row r="122" ht="13.9" customHeight="1"/>
    <row r="123" ht="13.9" customHeight="1"/>
    <row r="124" ht="13.9" customHeight="1"/>
    <row r="125" ht="13.9" customHeight="1"/>
    <row r="126" ht="13.9" customHeight="1"/>
    <row r="127" ht="13.9" customHeight="1"/>
    <row r="128" ht="13.9" customHeight="1"/>
    <row r="129" ht="13.9" customHeight="1"/>
    <row r="130" ht="13.9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vUDsDMXN2dAbp8sG0VVCg==" formatRows="1" sort="1" spinCount="100000" hashValue="C1OTIFZqRJcDdaw3hWGnfXXXWFu8w4a2hnUGFTZ+gUTvm81BcyQHPgyGHapsD7gTPwf7jMXNKB1N2DmrMnybGw=="/>
  <mergeCells count="144">
    <mergeCell ref="Q7:R7"/>
    <mergeCell ref="AF20:AX20"/>
    <mergeCell ref="B65:E65"/>
    <mergeCell ref="AF14:AX14"/>
    <mergeCell ref="B74:E74"/>
    <mergeCell ref="B68:E68"/>
    <mergeCell ref="A11:E11"/>
    <mergeCell ref="B36:E36"/>
    <mergeCell ref="B76:E76"/>
    <mergeCell ref="B45:E45"/>
    <mergeCell ref="B110:E110"/>
    <mergeCell ref="Z9:Z11"/>
    <mergeCell ref="A63:AB63"/>
    <mergeCell ref="B113:E113"/>
    <mergeCell ref="B91:E91"/>
    <mergeCell ref="Z5:AB5"/>
    <mergeCell ref="B100:E100"/>
    <mergeCell ref="B109:E109"/>
    <mergeCell ref="B47:E47"/>
    <mergeCell ref="B22:E22"/>
    <mergeCell ref="B93:E93"/>
    <mergeCell ref="B31:E31"/>
    <mergeCell ref="B102:E102"/>
    <mergeCell ref="B21:E21"/>
    <mergeCell ref="B86:E86"/>
    <mergeCell ref="B39:E39"/>
    <mergeCell ref="B101:E101"/>
    <mergeCell ref="B14:E14"/>
    <mergeCell ref="B23:E23"/>
    <mergeCell ref="A7:E8"/>
    <mergeCell ref="AF10:AX10"/>
    <mergeCell ref="B13:E13"/>
    <mergeCell ref="B69:E69"/>
    <mergeCell ref="B38:E38"/>
    <mergeCell ref="B78:E78"/>
    <mergeCell ref="B112:E112"/>
    <mergeCell ref="B87:E87"/>
    <mergeCell ref="A3:AB3"/>
    <mergeCell ref="A12:AB12"/>
    <mergeCell ref="Z7:AB7"/>
    <mergeCell ref="B40:E40"/>
    <mergeCell ref="B49:E49"/>
    <mergeCell ref="B64:E64"/>
    <mergeCell ref="B33:E33"/>
    <mergeCell ref="B104:E104"/>
    <mergeCell ref="A1:AB2"/>
    <mergeCell ref="B51:E51"/>
    <mergeCell ref="X8:Y8"/>
    <mergeCell ref="AF17:AX17"/>
    <mergeCell ref="Z8:AB8"/>
    <mergeCell ref="B32:E32"/>
    <mergeCell ref="B26:E26"/>
    <mergeCell ref="B41:E41"/>
    <mergeCell ref="B35:E35"/>
    <mergeCell ref="B50:E50"/>
    <mergeCell ref="B106:E106"/>
    <mergeCell ref="AF22:AX22"/>
    <mergeCell ref="B16:E16"/>
    <mergeCell ref="AF19:AX19"/>
    <mergeCell ref="B25:E25"/>
    <mergeCell ref="B90:E90"/>
    <mergeCell ref="B66:E66"/>
    <mergeCell ref="B18:E18"/>
    <mergeCell ref="B27:E27"/>
    <mergeCell ref="F7:J8"/>
    <mergeCell ref="B77:E77"/>
    <mergeCell ref="B67:E67"/>
    <mergeCell ref="B61:E61"/>
    <mergeCell ref="B53:E53"/>
    <mergeCell ref="B29:E29"/>
    <mergeCell ref="B103:E103"/>
    <mergeCell ref="B37:E37"/>
    <mergeCell ref="B84:E84"/>
    <mergeCell ref="AF21:AX21"/>
    <mergeCell ref="T9:Y9"/>
    <mergeCell ref="B15:E15"/>
    <mergeCell ref="B55:E55"/>
    <mergeCell ref="AF23:AX23"/>
    <mergeCell ref="B24:E24"/>
    <mergeCell ref="B80:E80"/>
    <mergeCell ref="B95:E95"/>
    <mergeCell ref="B89:E89"/>
    <mergeCell ref="X7:Y7"/>
    <mergeCell ref="B79:E79"/>
    <mergeCell ref="S8:W8"/>
    <mergeCell ref="B97:E97"/>
    <mergeCell ref="B54:E54"/>
    <mergeCell ref="B72:E72"/>
    <mergeCell ref="B81:E81"/>
    <mergeCell ref="AF18:AX18"/>
    <mergeCell ref="A9:E10"/>
    <mergeCell ref="B56:E56"/>
    <mergeCell ref="B71:E71"/>
    <mergeCell ref="B105:E105"/>
    <mergeCell ref="B43:E43"/>
    <mergeCell ref="B58:E58"/>
    <mergeCell ref="B52:E52"/>
    <mergeCell ref="B42:E42"/>
    <mergeCell ref="B107:E107"/>
    <mergeCell ref="B60:E60"/>
    <mergeCell ref="B17:E17"/>
    <mergeCell ref="B57:E57"/>
    <mergeCell ref="AF25:AX25"/>
    <mergeCell ref="AB9:AB11"/>
    <mergeCell ref="B44:E44"/>
    <mergeCell ref="B19:E19"/>
    <mergeCell ref="B34:E34"/>
    <mergeCell ref="B28:E28"/>
    <mergeCell ref="B99:E99"/>
    <mergeCell ref="G5:M5"/>
    <mergeCell ref="AF15:AX15"/>
    <mergeCell ref="B108:E108"/>
    <mergeCell ref="K7:P8"/>
    <mergeCell ref="B83:E83"/>
    <mergeCell ref="B92:E92"/>
    <mergeCell ref="B30:E30"/>
    <mergeCell ref="G4:M4"/>
    <mergeCell ref="B20:E20"/>
    <mergeCell ref="AF26:AX26"/>
    <mergeCell ref="B85:E85"/>
    <mergeCell ref="Q8:R8"/>
    <mergeCell ref="B94:E94"/>
    <mergeCell ref="R5:U5"/>
    <mergeCell ref="B75:E75"/>
    <mergeCell ref="S7:W7"/>
    <mergeCell ref="AF13:AX13"/>
    <mergeCell ref="B62:E62"/>
    <mergeCell ref="B59:E59"/>
    <mergeCell ref="N9:S9"/>
    <mergeCell ref="B46:E46"/>
    <mergeCell ref="R4:U4"/>
    <mergeCell ref="AF24:AX24"/>
    <mergeCell ref="B96:E96"/>
    <mergeCell ref="B70:E70"/>
    <mergeCell ref="B48:E48"/>
    <mergeCell ref="B111:E111"/>
    <mergeCell ref="AA9:AA11"/>
    <mergeCell ref="B98:E98"/>
    <mergeCell ref="F9:M9"/>
    <mergeCell ref="AF16:AX16"/>
    <mergeCell ref="B73:E73"/>
    <mergeCell ref="B88:E88"/>
    <mergeCell ref="W5:Y5"/>
    <mergeCell ref="B82:E82"/>
  </mergeCells>
  <conditionalFormatting sqref="B13:E62">
    <cfRule type="expression" priority="15" dxfId="2">
      <formula>IF($AB13&lt;75,TRUE,FALSE)</formula>
    </cfRule>
  </conditionalFormatting>
  <conditionalFormatting sqref="B64:E113">
    <cfRule type="expression" priority="14" dxfId="2">
      <formula>IF($AB64&lt;75,TRUE,FALSE)</formula>
    </cfRule>
  </conditionalFormatting>
  <conditionalFormatting sqref="L13:L62">
    <cfRule type="cellIs" priority="13" operator="lessThan" dxfId="0">
      <formula>60</formula>
    </cfRule>
  </conditionalFormatting>
  <conditionalFormatting sqref="L64:L113">
    <cfRule type="cellIs" priority="12" operator="lessThan" dxfId="0">
      <formula>60</formula>
    </cfRule>
  </conditionalFormatting>
  <conditionalFormatting sqref="R13:R62">
    <cfRule type="cellIs" priority="11" operator="lessThan" dxfId="0">
      <formula>60</formula>
    </cfRule>
  </conditionalFormatting>
  <conditionalFormatting sqref="R64:R113">
    <cfRule type="cellIs" priority="10" operator="lessThan" dxfId="0">
      <formula>60</formula>
    </cfRule>
  </conditionalFormatting>
  <conditionalFormatting sqref="T11:Y11 T13:W13 T16:W62 W14:W15">
    <cfRule type="expression" priority="7" dxfId="5">
      <formula>$Y$11=0</formula>
    </cfRule>
  </conditionalFormatting>
  <conditionalFormatting sqref="T64:Y113">
    <cfRule type="expression" priority="4" dxfId="5">
      <formula>$Y$11=0</formula>
    </cfRule>
  </conditionalFormatting>
  <conditionalFormatting sqref="X13:X62">
    <cfRule type="cellIs" priority="2" operator="lessThan" dxfId="0">
      <formula>60</formula>
    </cfRule>
  </conditionalFormatting>
  <conditionalFormatting sqref="X64:X113">
    <cfRule type="cellIs" priority="3" operator="lessThan" dxfId="0">
      <formula>60</formula>
    </cfRule>
    <cfRule type="cellIs" priority="5" operator="lessThan" dxfId="0">
      <formula>60</formula>
    </cfRule>
  </conditionalFormatting>
  <conditionalFormatting sqref="X13:Y62">
    <cfRule type="expression" priority="1" dxfId="5">
      <formula>$Y$11=0</formula>
    </cfRule>
  </conditionalFormatting>
  <conditionalFormatting sqref="AB13:AB62 AB64:AB113">
    <cfRule type="cellIs" priority="8" operator="lessThan" dxfId="0">
      <formula>75</formula>
    </cfRule>
  </conditionalFormatting>
  <dataValidations count="54">
    <dataValidation sqref="AB13:AB62 AB64:AB113" showDropDown="0" showInputMessage="1" showErrorMessage="0" allowBlank="1" prompt="QUARTERLY GRADE (TRANSMUTED GRADE)"/>
    <dataValidation sqref="F9:S9" showDropDown="0" showInputMessage="1" showErrorMessage="1" allowBlank="1" promptTitle="Go to INPUT DATA SHEET" prompt="Then select your TRACK from the Drop-down List."/>
    <dataValidation sqref="F11:J11 N11:P11 T11:W11 W13:W62 W64:W113" showDropDown="0" showInputMessage="1" showErrorMessage="0" allowBlank="1" prompt="Either encode Highest Possible Score or Empty" type="list">
      <formula1>#REF!</formula1>
    </dataValidation>
    <dataValidation sqref="F11:J11 N11:P11 T11:W11 W13:W62 W64:W113" showDropDown="0" showInputMessage="1" showErrorMessage="0" allowBlank="1" prompt="Either encode Highest Possible Score or Empty" type="list" errorStyle="information">
      <formula1>#REF!</formula1>
    </dataValidation>
    <dataValidation sqref="T9:Y9" showDropDown="0" showInputMessage="1" showErrorMessage="1" allowBlank="1" promptTitle="Go to INPUT DATA sheet" prompt="Then select your TRACK from the Drop-down List."/>
    <dataValidation sqref="A12 A63" showDropDown="0" showInputMessage="0" showErrorMessage="1" allowBlank="1"/>
    <dataValidation sqref="Z13:AA62 Z64:AA113" showDropDown="0" showInputMessage="1" showErrorMessage="0" allowBlank="1" prompt="INITIAL GRADE"/>
    <dataValidation sqref="Y11" showDropDown="0" showInputMessage="1" showErrorMessage="0" allowBlank="1" prompt="Quarterly Assessment's Weighted Score"/>
    <dataValidation sqref="Y11" showDropDown="0" showInputMessage="1" showErrorMessage="1" allowBlank="1" prompt="Quarterly Assessment's Weighted Score"/>
    <dataValidation sqref="X11" showDropDown="0" showInputMessage="1" showErrorMessage="0" allowBlank="1" prompt="Quarterly Assessment's Percentage Score"/>
    <dataValidation sqref="X11" showDropDown="0" showInputMessage="1" showErrorMessage="1" allowBlank="1" prompt="Quarterly Assessment's Percentage Score"/>
    <dataValidation sqref="S11 S13:S62 S64:S113 Y13:Y62 Y64:Y113" showDropDown="0" showInputMessage="1" showErrorMessage="0" allowBlank="1" prompt="Performance Tasks' Weighted Score"/>
    <dataValidation sqref="S11" showDropDown="0" showInputMessage="1" showErrorMessage="1" allowBlank="1" prompt="Performance Tasks' Weighted Score"/>
    <dataValidation sqref="M11 M13:M62 M64:M113" showDropDown="0" showInputMessage="1" showErrorMessage="0" allowBlank="1" prompt="Written Works' Weighted Score"/>
    <dataValidation sqref="M11" showDropDown="0" showInputMessage="1" showErrorMessage="1" allowBlank="1" prompt="Written Works' Weighted Score"/>
    <dataValidation sqref="R11 R13:R62 R64:R113 X13:X62 X64:X113" showDropDown="0" showInputMessage="1" showErrorMessage="0" allowBlank="1" prompt="Performance Tasks' Percentage Score"/>
    <dataValidation sqref="R11" showDropDown="0" showInputMessage="1" showErrorMessage="1" allowBlank="1" prompt="Performance Tasks' Percentage Score"/>
    <dataValidation sqref="L11 L13:L62 L64:L113" showDropDown="0" showInputMessage="1" showErrorMessage="0" allowBlank="1" prompt="Written Works' Percentage Score"/>
    <dataValidation sqref="L11" showDropDown="0" showInputMessage="1" showErrorMessage="1" allowBlank="1" prompt="Written Works' Percentage Score"/>
    <dataValidation sqref="Q11" showDropDown="0" showInputMessage="1" showErrorMessage="0" allowBlank="1" prompt="Performance Tasks' Highest Possible Score"/>
    <dataValidation sqref="Q11" showDropDown="0" showInputMessage="1" showErrorMessage="1" allowBlank="1" prompt="Performance Tasks' Total Highest Possible Score"/>
    <dataValidation sqref="K11" showDropDown="0" showInputMessage="1" showErrorMessage="0" allowBlank="1" prompt="Written Works' Total Highest Possible Score"/>
    <dataValidation sqref="K11" showDropDown="0" showInputMessage="1" showErrorMessage="1" allowBlank="1" prompt="Written Works' Total Highest Possible Score"/>
    <dataValidation sqref="B13:B62 B64:B113" showDropDown="0" showInputMessage="1" showErrorMessage="0" allowBlank="1" prompt="Do not type name of learners here. Go to INPUT DATA sheet."/>
    <dataValidation sqref="Q13:Q62 Q64:Q113" showDropDown="0" showInputMessage="1" showErrorMessage="1" allowBlank="1" prompt="Performance Tasks' Total Raw Scores"/>
    <dataValidation sqref="K13:K62 K64:K113" showDropDown="0" showInputMessage="1" showErrorMessage="1" allowBlank="1" prompt="Written Works' Total Raw Score"/>
    <dataValidation sqref="A11 A13:A62" showDropDown="0" showInputMessage="0" showErrorMessage="0" allowBlank="1"/>
    <dataValidation sqref="L10 R10 X10" showDropDown="0" showInputMessage="1" showErrorMessage="1" allowBlank="1" prompt="Percentage"/>
    <dataValidation sqref="S8:W8" showDropDown="0" showInputMessage="1" showErrorMessage="1" allowBlank="1" type="list">
      <formula1>"ACADEMIC, TECHNICAL PROFESSIONAL"</formula1>
    </dataValidation>
  </dataValidations>
  <printOptions horizontalCentered="1"/>
  <pageMargins left="0.4" right="0.4" top="0.5" bottom="0.5" header="0.3" footer="0.3"/>
  <pageSetup orientation="landscape" paperSize="9" scale="69" fitToHeight="3" verticalDpi="300"/>
  <colBreaks count="1" manualBreakCount="1">
    <brk id="28" min="0" max="1048575" man="1"/>
  </col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Sheet5">
    <tabColor theme="9" tint="-0.249977111117893"/>
    <outlinePr summaryBelow="1" summaryRight="1"/>
    <pageSetUpPr fitToPage="1"/>
  </sheetPr>
  <dimension ref="A1:BE120"/>
  <sheetViews>
    <sheetView showGridLines="0" tabSelected="1" topLeftCell="A4" zoomScale="96" zoomScaleNormal="100" zoomScaleSheetLayoutView="85" workbookViewId="0">
      <selection activeCell="V21" sqref="V21:Y21"/>
    </sheetView>
  </sheetViews>
  <sheetFormatPr baseColWidth="8" defaultColWidth="0" defaultRowHeight="15" zeroHeight="1"/>
  <cols>
    <col width="4.140625" customWidth="1" style="2" min="1" max="1"/>
    <col width="28.7109375" customWidth="1" style="2" min="2" max="2"/>
    <col width="3.28515625" customWidth="1" style="2" min="3" max="5"/>
    <col width="4.7109375" customWidth="1" style="2" min="6" max="9"/>
    <col width="2.140625" customWidth="1" style="2" min="10" max="10"/>
    <col hidden="1" width="0.140625" customWidth="1" style="2" min="11" max="11"/>
    <col hidden="1" width="1.28515625" customWidth="1" style="2" min="12" max="12"/>
    <col hidden="1" width="0.140625" customWidth="1" style="2" min="13" max="13"/>
    <col width="4.7109375" customWidth="1" style="2" min="14" max="16"/>
    <col width="4.7109375" customWidth="1" style="7" min="17" max="17"/>
    <col width="3.7109375" customWidth="1" style="7" min="18" max="18"/>
    <col hidden="1" width="3" customWidth="1" style="2" min="19" max="19"/>
    <col hidden="1" width="1.42578125" customWidth="1" style="2" min="20" max="20"/>
    <col hidden="1" width="0.140625" customWidth="1" style="2" min="21" max="21"/>
    <col width="4.7109375" customWidth="1" style="2" min="22" max="24"/>
    <col width="8.28515625" customWidth="1" style="2" min="25" max="25"/>
    <col width="4.7109375" customWidth="1" style="2" min="26" max="27"/>
    <col width="10.7109375" customWidth="1" style="2" min="28" max="28"/>
    <col width="13" customWidth="1" style="7" min="29" max="29"/>
    <col hidden="1" width="7.140625" customWidth="1" style="7" min="30" max="30"/>
    <col hidden="1" width="10.28515625" customWidth="1" style="2" min="31" max="31"/>
    <col hidden="1" width="7.140625" customWidth="1" style="7" min="32" max="34"/>
    <col hidden="1" width="7.140625" customWidth="1" style="4" min="35" max="35"/>
    <col hidden="1" width="4.7109375" customWidth="1" style="1" min="36" max="38"/>
    <col hidden="1" width="4.7109375" customWidth="1" style="6" min="39" max="55"/>
    <col hidden="1" width="4.7109375" customWidth="1" style="1" min="56" max="150"/>
  </cols>
  <sheetData>
    <row r="1" ht="15" customHeight="1">
      <c r="A1" s="521" t="inlineStr">
        <is>
          <t>Final Grades</t>
        </is>
      </c>
      <c r="B1" s="649" t="n"/>
      <c r="C1" s="649" t="n"/>
      <c r="D1" s="649" t="n"/>
      <c r="E1" s="649" t="n"/>
      <c r="F1" s="649" t="n"/>
      <c r="G1" s="649" t="n"/>
      <c r="H1" s="649" t="n"/>
      <c r="I1" s="649" t="n"/>
      <c r="J1" s="649" t="n"/>
      <c r="K1" s="649" t="n"/>
      <c r="L1" s="649" t="n"/>
      <c r="M1" s="649" t="n"/>
      <c r="N1" s="649" t="n"/>
      <c r="O1" s="649" t="n"/>
      <c r="P1" s="649" t="n"/>
      <c r="Q1" s="649" t="n"/>
      <c r="R1" s="649" t="n"/>
      <c r="S1" s="649" t="n"/>
      <c r="T1" s="649" t="n"/>
      <c r="U1" s="649" t="n"/>
      <c r="V1" s="649" t="n"/>
      <c r="W1" s="649" t="n"/>
      <c r="X1" s="649" t="n"/>
      <c r="Y1" s="649" t="n"/>
      <c r="Z1" s="649" t="n"/>
      <c r="AA1" s="649" t="n"/>
      <c r="AB1" s="649" t="n"/>
      <c r="AC1" s="649" t="n"/>
      <c r="AD1" s="15" t="n"/>
      <c r="AE1" s="15" t="n"/>
      <c r="AF1" s="15" t="n"/>
      <c r="AG1" s="15" t="n"/>
      <c r="AH1" s="15" t="n"/>
      <c r="AI1" s="15" t="n"/>
    </row>
    <row r="2" ht="15" customHeight="1">
      <c r="A2" s="649" t="n"/>
      <c r="B2" s="649" t="n"/>
      <c r="C2" s="649" t="n"/>
      <c r="D2" s="649" t="n"/>
      <c r="E2" s="649" t="n"/>
      <c r="F2" s="649" t="n"/>
      <c r="G2" s="649" t="n"/>
      <c r="H2" s="649" t="n"/>
      <c r="I2" s="649" t="n"/>
      <c r="J2" s="649" t="n"/>
      <c r="K2" s="649" t="n"/>
      <c r="L2" s="649" t="n"/>
      <c r="M2" s="649" t="n"/>
      <c r="N2" s="649" t="n"/>
      <c r="O2" s="649" t="n"/>
      <c r="P2" s="649" t="n"/>
      <c r="Q2" s="649" t="n"/>
      <c r="R2" s="649" t="n"/>
      <c r="S2" s="649" t="n"/>
      <c r="T2" s="649" t="n"/>
      <c r="U2" s="649" t="n"/>
      <c r="V2" s="649" t="n"/>
      <c r="W2" s="649" t="n"/>
      <c r="X2" s="649" t="n"/>
      <c r="Y2" s="649" t="n"/>
      <c r="Z2" s="649" t="n"/>
      <c r="AA2" s="649" t="n"/>
      <c r="AB2" s="649" t="n"/>
      <c r="AC2" s="649" t="n"/>
      <c r="AD2" s="15" t="n"/>
      <c r="AE2" s="15" t="n"/>
      <c r="AF2" s="15" t="n"/>
      <c r="AG2" s="15" t="n"/>
      <c r="AH2" s="15" t="n"/>
      <c r="AI2" s="15" t="n"/>
    </row>
    <row r="3" ht="15" customHeight="1">
      <c r="A3" s="521" t="n"/>
      <c r="B3" s="521" t="n"/>
      <c r="C3" s="521" t="n"/>
      <c r="D3" s="521" t="n"/>
      <c r="E3" s="521" t="n"/>
      <c r="F3" s="521" t="n"/>
      <c r="G3" s="521" t="n"/>
      <c r="H3" s="521" t="n"/>
      <c r="I3" s="521" t="n"/>
      <c r="J3" s="521" t="n"/>
      <c r="K3" s="521" t="n"/>
      <c r="L3" s="521" t="n"/>
      <c r="M3" s="521" t="n"/>
      <c r="N3" s="521" t="n"/>
      <c r="O3" s="521" t="n"/>
      <c r="P3" s="521" t="n"/>
      <c r="Q3" s="521" t="n"/>
      <c r="R3" s="521" t="n"/>
      <c r="S3" s="521" t="n"/>
      <c r="T3" s="521" t="n"/>
      <c r="U3" s="521" t="n"/>
      <c r="V3" s="521" t="n"/>
      <c r="W3" s="521" t="n"/>
      <c r="X3" s="521" t="n"/>
      <c r="Y3" s="521" t="n"/>
      <c r="Z3" s="521" t="n"/>
      <c r="AA3" s="521" t="n"/>
      <c r="AB3" s="521" t="n"/>
      <c r="AC3" s="15" t="n"/>
      <c r="AD3" s="15" t="n"/>
      <c r="AE3" s="15" t="n"/>
      <c r="AF3" s="15" t="n"/>
      <c r="AG3" s="15" t="n"/>
      <c r="AH3" s="15" t="n"/>
      <c r="AI3" s="15" t="n"/>
    </row>
    <row r="4">
      <c r="A4" s="26" t="n"/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  <c r="AC4" s="16" t="n"/>
      <c r="AD4" s="16" t="n"/>
      <c r="AE4" s="16" t="n"/>
      <c r="AF4" s="16" t="n"/>
      <c r="AG4" s="16" t="n"/>
      <c r="AH4" s="16" t="n"/>
      <c r="AI4" s="16" t="n"/>
    </row>
    <row r="5" ht="21" customHeight="1">
      <c r="A5" s="3" t="n"/>
      <c r="B5" s="545" t="inlineStr">
        <is>
          <t xml:space="preserve">REGION  </t>
        </is>
      </c>
      <c r="C5" s="679" t="n"/>
      <c r="D5" s="542">
        <f>'INPUT DATA'!F10</f>
        <v/>
      </c>
      <c r="E5" s="673" t="n"/>
      <c r="F5" s="673" t="n"/>
      <c r="G5" s="673" t="n"/>
      <c r="H5" s="674" t="n"/>
      <c r="I5" s="277" t="n"/>
      <c r="J5" s="543" t="inlineStr">
        <is>
          <t>DIVISION</t>
        </is>
      </c>
      <c r="K5" s="680" t="n"/>
      <c r="L5" s="680" t="n"/>
      <c r="M5" s="680" t="n"/>
      <c r="N5" s="680" t="n"/>
      <c r="O5" s="680" t="n"/>
      <c r="P5" s="542">
        <f>'INPUT DATA'!F11</f>
        <v/>
      </c>
      <c r="Q5" s="673" t="n"/>
      <c r="R5" s="673" t="n"/>
      <c r="S5" s="673" t="n"/>
      <c r="T5" s="673" t="n"/>
      <c r="U5" s="673" t="n"/>
      <c r="V5" s="673" t="n"/>
      <c r="W5" s="674" t="n"/>
      <c r="X5" s="326" t="n"/>
      <c r="Y5" s="541" t="inlineStr">
        <is>
          <t>SCHOOL ID</t>
        </is>
      </c>
      <c r="Z5" s="649" t="n"/>
      <c r="AA5" s="679" t="n"/>
      <c r="AB5" s="542">
        <f>'INPUT DATA'!F13</f>
        <v/>
      </c>
      <c r="AC5" s="674" t="n"/>
      <c r="AD5" s="1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</row>
    <row r="6" ht="21" customHeight="1">
      <c r="A6" s="3" t="n"/>
      <c r="B6" s="520" t="inlineStr">
        <is>
          <t xml:space="preserve">SCHOOL NAME  </t>
        </is>
      </c>
      <c r="C6" s="649" t="n"/>
      <c r="D6" s="542">
        <f>'INPUT DATA'!F14</f>
        <v/>
      </c>
      <c r="E6" s="673" t="n"/>
      <c r="F6" s="673" t="n"/>
      <c r="G6" s="673" t="n"/>
      <c r="H6" s="673" t="n"/>
      <c r="I6" s="673" t="n"/>
      <c r="J6" s="673" t="n"/>
      <c r="K6" s="673" t="n"/>
      <c r="L6" s="673" t="n"/>
      <c r="M6" s="673" t="n"/>
      <c r="N6" s="673" t="n"/>
      <c r="O6" s="673" t="n"/>
      <c r="P6" s="673" t="n"/>
      <c r="Q6" s="673" t="n"/>
      <c r="R6" s="673" t="n"/>
      <c r="S6" s="673" t="n"/>
      <c r="T6" s="673" t="n"/>
      <c r="U6" s="673" t="n"/>
      <c r="V6" s="673" t="n"/>
      <c r="W6" s="674" t="n"/>
      <c r="X6" s="326" t="n"/>
      <c r="Y6" s="541" t="inlineStr">
        <is>
          <t>SCHOOL YEAR</t>
        </is>
      </c>
      <c r="Z6" s="649" t="n"/>
      <c r="AA6" s="679" t="n"/>
      <c r="AB6" s="542">
        <f>'INPUT DATA'!F16</f>
        <v/>
      </c>
      <c r="AC6" s="674" t="n"/>
      <c r="AD6" s="325" t="n"/>
      <c r="AE6" s="325" t="n"/>
      <c r="AF6" s="561" t="n"/>
      <c r="AG6" s="681" t="n"/>
      <c r="AH6" s="681" t="n"/>
      <c r="AI6" s="17" t="n"/>
      <c r="AJ6" s="14" t="n"/>
      <c r="AK6" s="14" t="n"/>
      <c r="AL6" s="14" t="n"/>
      <c r="AM6" s="14" t="n"/>
    </row>
    <row r="7" ht="11.25" customHeight="1" thickBot="1">
      <c r="A7" s="183" t="n"/>
      <c r="B7" s="520" t="n"/>
      <c r="C7" s="520" t="n"/>
      <c r="D7" s="520" t="n"/>
      <c r="E7" s="520" t="n"/>
      <c r="F7" s="520" t="n"/>
      <c r="G7" s="32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28" t="n"/>
      <c r="T7" s="28" t="n"/>
      <c r="U7" s="28" t="n"/>
      <c r="V7" s="28" t="n"/>
      <c r="W7" s="32" t="n"/>
      <c r="X7" s="32" t="n"/>
      <c r="Y7" s="32" t="n"/>
      <c r="Z7" s="32" t="n"/>
      <c r="AA7" s="32" t="n"/>
      <c r="AB7" s="32" t="n"/>
      <c r="AC7" s="29" t="n"/>
      <c r="AD7" s="29" t="n"/>
      <c r="AE7" s="29" t="n"/>
      <c r="AF7" s="561" t="n"/>
      <c r="AG7" s="561" t="n"/>
      <c r="AH7" s="561" t="n"/>
      <c r="AI7" s="17" t="n"/>
      <c r="AJ7" s="14" t="n"/>
      <c r="AK7" s="14" t="n"/>
      <c r="AL7" s="14" t="n"/>
      <c r="AM7" s="14" t="n"/>
    </row>
    <row r="8" hidden="1" ht="21.75" customHeight="1" thickBot="1">
      <c r="B8" s="320" t="n"/>
      <c r="C8" s="320" t="n"/>
      <c r="D8" s="320" t="n"/>
      <c r="E8" s="320" t="n"/>
      <c r="G8" s="450" t="n"/>
      <c r="H8" s="450" t="n"/>
      <c r="I8" s="450" t="n"/>
      <c r="J8" s="450" t="n"/>
      <c r="K8" s="321" t="n"/>
      <c r="L8" s="321" t="n"/>
      <c r="M8" s="321" t="n"/>
      <c r="N8" s="321" t="n"/>
      <c r="O8" s="321" t="n"/>
      <c r="P8" s="321" t="n"/>
      <c r="Q8" s="546" t="n"/>
      <c r="R8" s="649" t="n"/>
      <c r="S8" s="649" t="n"/>
      <c r="T8" s="649" t="n"/>
      <c r="U8" s="649" t="n"/>
      <c r="V8" s="322" t="n"/>
      <c r="W8" s="322" t="n"/>
      <c r="X8" s="322" t="n"/>
      <c r="Y8" s="322" t="n"/>
      <c r="Z8" s="523" t="n"/>
      <c r="AA8" s="649" t="n"/>
      <c r="AB8" s="649" t="n"/>
      <c r="AC8" s="649" t="n"/>
    </row>
    <row r="9" ht="21.75" customHeight="1" thickBot="1">
      <c r="A9" s="682" t="inlineStr">
        <is>
          <t>LEARNERS' NAMES</t>
        </is>
      </c>
      <c r="B9" s="658" t="n"/>
      <c r="C9" s="658" t="n"/>
      <c r="D9" s="658" t="n"/>
      <c r="E9" s="662" t="n"/>
      <c r="F9" s="323" t="inlineStr">
        <is>
          <t xml:space="preserve">GRADE &amp; SECTION: </t>
        </is>
      </c>
      <c r="G9" s="324" t="n"/>
      <c r="H9" s="324" t="n"/>
      <c r="I9" s="324" t="n"/>
      <c r="J9" s="324" t="n"/>
      <c r="K9" s="319" t="n"/>
      <c r="L9" s="319" t="n"/>
      <c r="M9" s="319" t="n"/>
      <c r="N9" s="522">
        <f>'INPUT DATA'!F24&amp;" - "&amp;'INPUT DATA'!F25</f>
        <v/>
      </c>
      <c r="O9" s="650" t="n"/>
      <c r="P9" s="650" t="n"/>
      <c r="Q9" s="650" t="n"/>
      <c r="R9" s="650" t="n"/>
      <c r="S9" s="650" t="n"/>
      <c r="T9" s="650" t="n"/>
      <c r="U9" s="653" t="n"/>
      <c r="V9" s="526" t="inlineStr">
        <is>
          <t>SUBJECT:</t>
        </is>
      </c>
      <c r="W9" s="650" t="n"/>
      <c r="X9" s="650" t="n"/>
      <c r="Y9" s="650" t="n"/>
      <c r="Z9" s="522">
        <f>IF('INPUT DATA'!F30&lt;&gt;"",'INPUT DATA'!F30,'INPUT DATA'!F28)</f>
        <v/>
      </c>
      <c r="AA9" s="650" t="n"/>
      <c r="AB9" s="650" t="n"/>
      <c r="AC9" s="653" t="n"/>
      <c r="AD9" s="13" t="n"/>
      <c r="AE9" s="13" t="n"/>
      <c r="AF9" s="565" t="n"/>
      <c r="AG9" s="681" t="n"/>
      <c r="AH9" s="681" t="n"/>
      <c r="AI9" s="681" t="n"/>
    </row>
    <row r="10" ht="21" customFormat="1" customHeight="1" s="4" thickBot="1">
      <c r="A10" s="683" t="n"/>
      <c r="B10" s="649" t="n"/>
      <c r="C10" s="649" t="n"/>
      <c r="D10" s="649" t="n"/>
      <c r="E10" s="676" t="n"/>
      <c r="F10" s="572" t="inlineStr">
        <is>
          <t>TEACHER:</t>
        </is>
      </c>
      <c r="G10" s="650" t="n"/>
      <c r="H10" s="650" t="n"/>
      <c r="I10" s="548">
        <f>'INPUT DATA'!F22</f>
        <v/>
      </c>
      <c r="J10" s="650" t="n"/>
      <c r="K10" s="650" t="n"/>
      <c r="L10" s="650" t="n"/>
      <c r="M10" s="650" t="n"/>
      <c r="N10" s="650" t="n"/>
      <c r="O10" s="650" t="n"/>
      <c r="P10" s="650" t="n"/>
      <c r="Q10" s="650" t="n"/>
      <c r="R10" s="653" t="n"/>
      <c r="S10" s="580" t="inlineStr">
        <is>
          <t>SUBJECT TYPE:</t>
        </is>
      </c>
      <c r="T10" s="650" t="n"/>
      <c r="U10" s="650" t="n"/>
      <c r="V10" s="528" t="inlineStr">
        <is>
          <t>SUBJECT TYPE:</t>
        </is>
      </c>
      <c r="W10" s="650" t="n"/>
      <c r="X10" s="650" t="n"/>
      <c r="Y10" s="650" t="n"/>
      <c r="Z10" s="525">
        <f>'INPUT DATA'!F26</f>
        <v/>
      </c>
      <c r="AA10" s="650" t="n"/>
      <c r="AB10" s="650" t="n"/>
      <c r="AC10" s="653" t="n"/>
      <c r="AD10" s="9" t="n"/>
      <c r="AE10" s="10" t="n"/>
      <c r="AF10" s="9" t="n"/>
      <c r="AG10" s="9" t="n"/>
      <c r="AH10" s="11" t="n"/>
      <c r="AI10" s="12" t="n"/>
    </row>
    <row r="11" ht="39" customFormat="1" customHeight="1" s="4" thickBot="1">
      <c r="A11" s="663" t="n"/>
      <c r="B11" s="664" t="n"/>
      <c r="C11" s="664" t="n"/>
      <c r="D11" s="664" t="n"/>
      <c r="E11" s="667" t="n"/>
      <c r="F11" s="684" t="inlineStr">
        <is>
          <t>FIRST TERM</t>
        </is>
      </c>
      <c r="G11" s="650" t="n"/>
      <c r="H11" s="650" t="n"/>
      <c r="I11" s="650" t="n"/>
      <c r="J11" s="650" t="n"/>
      <c r="K11" s="650" t="n"/>
      <c r="L11" s="650" t="n"/>
      <c r="M11" s="653" t="n"/>
      <c r="N11" s="684" t="inlineStr">
        <is>
          <t>SECOND TERM</t>
        </is>
      </c>
      <c r="O11" s="650" t="n"/>
      <c r="P11" s="650" t="n"/>
      <c r="Q11" s="650" t="n"/>
      <c r="R11" s="650" t="n"/>
      <c r="S11" s="650" t="n"/>
      <c r="T11" s="650" t="n"/>
      <c r="U11" s="653" t="n"/>
      <c r="V11" s="685" t="inlineStr">
        <is>
          <t>THIRD TERM</t>
        </is>
      </c>
      <c r="W11" s="650" t="n"/>
      <c r="X11" s="650" t="n"/>
      <c r="Y11" s="653" t="n"/>
      <c r="Z11" s="684" t="inlineStr">
        <is>
          <t>AVERAGE</t>
        </is>
      </c>
      <c r="AA11" s="650" t="n"/>
      <c r="AB11" s="653" t="n"/>
      <c r="AC11" s="332" t="inlineStr">
        <is>
          <t>REMARKS</t>
        </is>
      </c>
      <c r="AD11" s="18" t="n"/>
      <c r="AF11" s="7" t="n"/>
      <c r="AG11" s="18" t="n"/>
      <c r="AH11" s="19" t="n"/>
      <c r="AI11" s="19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</row>
    <row r="12" ht="18" customFormat="1" customHeight="1" s="5" thickBot="1">
      <c r="A12" s="686" t="inlineStr">
        <is>
          <t xml:space="preserve">MALE </t>
        </is>
      </c>
      <c r="B12" s="650" t="n"/>
      <c r="C12" s="650" t="n"/>
      <c r="D12" s="650" t="n"/>
      <c r="E12" s="653" t="n"/>
      <c r="F12" s="687" t="n"/>
      <c r="G12" s="650" t="n"/>
      <c r="H12" s="650" t="n"/>
      <c r="I12" s="650" t="n"/>
      <c r="J12" s="650" t="n"/>
      <c r="K12" s="650" t="n"/>
      <c r="L12" s="650" t="n"/>
      <c r="M12" s="653" t="n"/>
      <c r="N12" s="687" t="n"/>
      <c r="O12" s="650" t="n"/>
      <c r="P12" s="650" t="n"/>
      <c r="Q12" s="650" t="n"/>
      <c r="R12" s="650" t="n"/>
      <c r="S12" s="650" t="n"/>
      <c r="T12" s="650" t="n"/>
      <c r="U12" s="653" t="n"/>
      <c r="V12" s="688" t="n"/>
      <c r="W12" s="664" t="n"/>
      <c r="X12" s="664" t="n"/>
      <c r="Y12" s="667" t="n"/>
      <c r="Z12" s="688" t="n"/>
      <c r="AA12" s="664" t="n"/>
      <c r="AB12" s="667" t="n"/>
      <c r="AC12" s="687" t="n"/>
      <c r="AD12" s="650" t="n"/>
      <c r="AE12" s="653" t="n"/>
      <c r="AF12" s="7" t="n"/>
      <c r="AG12" s="7" t="n"/>
      <c r="AH12" s="7" t="n"/>
      <c r="AI12" s="20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</row>
    <row r="13" ht="18" customFormat="1" customHeight="1" s="294">
      <c r="A13" s="21" t="n">
        <v>1</v>
      </c>
      <c r="B13" s="689">
        <f>'INPUT DATA'!L11</f>
        <v/>
      </c>
      <c r="C13" s="673" t="n"/>
      <c r="D13" s="673" t="n"/>
      <c r="E13" s="690" t="n"/>
      <c r="F13" s="59" t="n"/>
      <c r="G13" s="60" t="n"/>
      <c r="H13" s="583">
        <f>'TERM 1'!AA13</f>
        <v/>
      </c>
      <c r="I13" s="60" t="n"/>
      <c r="J13" s="60" t="n"/>
      <c r="K13" s="60" t="n"/>
      <c r="L13" s="60" t="n"/>
      <c r="M13" s="61" t="n"/>
      <c r="N13" s="59" t="n"/>
      <c r="O13" s="60" t="n"/>
      <c r="P13" s="301">
        <f>'TERM 2'!AA13</f>
        <v/>
      </c>
      <c r="Q13" s="60" t="n"/>
      <c r="R13" s="60" t="n"/>
      <c r="S13" s="60" t="n"/>
      <c r="T13" s="60" t="n"/>
      <c r="U13" s="61" t="n"/>
      <c r="V13" s="691">
        <f>'TERM 3'!AA13</f>
        <v/>
      </c>
      <c r="W13" s="692" t="n"/>
      <c r="X13" s="692" t="n"/>
      <c r="Y13" s="693" t="n"/>
      <c r="Z13" s="582">
        <f>IFERROR((H13+P13+V13)/3, "")</f>
        <v/>
      </c>
      <c r="AA13" s="692" t="n"/>
      <c r="AB13" s="692" t="n"/>
      <c r="AC13" s="328">
        <f t="array" ref="AC13">IF(Z13="", "", _xlfn.IFS(Z13&gt;=90, "Advancing", Z13&gt;=80, "Benchmarking", Z13&gt;=75, "Connecting", Z13&gt;=65, "Developing", Z13&gt;=0, "Emerging"))</f>
        <v/>
      </c>
      <c r="AD13" s="302" t="n"/>
      <c r="AE13" s="292" t="n"/>
      <c r="AF13" s="291" t="n"/>
      <c r="AG13" s="291" t="n"/>
      <c r="AH13" s="291" t="n"/>
      <c r="AI13" s="293" t="n"/>
      <c r="AK13" s="292" t="n"/>
      <c r="AM13" s="295" t="n"/>
      <c r="AN13" s="295" t="n"/>
      <c r="AO13" s="295" t="n"/>
      <c r="AP13" s="295" t="n"/>
      <c r="AQ13" s="295" t="n"/>
      <c r="AR13" s="295" t="n"/>
      <c r="AS13" s="295" t="n"/>
      <c r="AT13" s="295" t="n"/>
      <c r="AU13" s="295" t="n"/>
      <c r="AV13" s="295" t="n"/>
      <c r="AW13" s="295" t="n"/>
      <c r="AX13" s="295" t="n"/>
      <c r="AY13" s="295" t="n"/>
      <c r="AZ13" s="295" t="n"/>
      <c r="BA13" s="295" t="n"/>
      <c r="BB13" s="295" t="n"/>
      <c r="BC13" s="295" t="n"/>
      <c r="BD13" s="295" t="n"/>
      <c r="BE13" s="295" t="n"/>
    </row>
    <row r="14" ht="18" customFormat="1" customHeight="1" s="294">
      <c r="A14" s="22" t="n">
        <v>2</v>
      </c>
      <c r="B14" s="689">
        <f>'INPUT DATA'!L12</f>
        <v/>
      </c>
      <c r="C14" s="673" t="n"/>
      <c r="D14" s="673" t="n"/>
      <c r="E14" s="690" t="n"/>
      <c r="F14" s="62" t="n"/>
      <c r="G14" s="63" t="n"/>
      <c r="H14" s="299">
        <f>'TERM 1'!AA14</f>
        <v/>
      </c>
      <c r="I14" s="63" t="n"/>
      <c r="J14" s="63" t="n"/>
      <c r="K14" s="63" t="n"/>
      <c r="L14" s="63" t="n"/>
      <c r="M14" s="64" t="n"/>
      <c r="N14" s="62" t="n"/>
      <c r="O14" s="63" t="n"/>
      <c r="P14" s="300">
        <f>'TERM 2'!AA14</f>
        <v/>
      </c>
      <c r="Q14" s="63" t="n"/>
      <c r="R14" s="63" t="n"/>
      <c r="S14" s="63" t="n"/>
      <c r="T14" s="63" t="n"/>
      <c r="U14" s="64" t="n"/>
      <c r="V14" s="694">
        <f>'TERM 3'!AA14</f>
        <v/>
      </c>
      <c r="W14" s="673" t="n"/>
      <c r="X14" s="673" t="n"/>
      <c r="Y14" s="690" t="n"/>
      <c r="Z14" s="574">
        <f>IFERROR((H14+P14+V14)/3, "")</f>
        <v/>
      </c>
      <c r="AA14" s="673" t="n"/>
      <c r="AB14" s="673" t="n"/>
      <c r="AC14" s="329">
        <f t="array" ref="AC14">IF(Z14="", "", _xlfn.IFS(Z14&gt;=90, "Advancing", Z14&gt;=80, "Benchmarking", Z14&gt;=75, "Connecting", Z14&gt;=65, "Developing", Z14&gt;=0, "Emerging"))</f>
        <v/>
      </c>
      <c r="AD14" s="302" t="n"/>
      <c r="AE14" s="292" t="n"/>
      <c r="AF14" s="291" t="n"/>
      <c r="AG14" s="291" t="n"/>
      <c r="AH14" s="291" t="n"/>
      <c r="AI14" s="293" t="n"/>
      <c r="AK14" s="292" t="n"/>
      <c r="AM14" s="295" t="n"/>
      <c r="AN14" s="295" t="n"/>
      <c r="AO14" s="295" t="n"/>
      <c r="AP14" s="295" t="n"/>
      <c r="AQ14" s="295" t="n"/>
      <c r="AR14" s="295" t="n"/>
      <c r="AS14" s="295" t="n"/>
      <c r="AT14" s="295" t="n"/>
      <c r="AU14" s="295" t="n"/>
      <c r="AV14" s="295" t="n"/>
      <c r="AW14" s="295" t="n"/>
      <c r="AX14" s="295" t="n"/>
      <c r="AY14" s="295" t="n"/>
      <c r="AZ14" s="295" t="n"/>
      <c r="BA14" s="295" t="n"/>
      <c r="BB14" s="295" t="n"/>
      <c r="BC14" s="295" t="n"/>
      <c r="BD14" s="295" t="n"/>
      <c r="BE14" s="295" t="n"/>
    </row>
    <row r="15" ht="18" customFormat="1" customHeight="1" s="294">
      <c r="A15" s="22" t="n">
        <v>3</v>
      </c>
      <c r="B15" s="689">
        <f>'INPUT DATA'!L13</f>
        <v/>
      </c>
      <c r="C15" s="673" t="n"/>
      <c r="D15" s="673" t="n"/>
      <c r="E15" s="690" t="n"/>
      <c r="F15" s="62" t="n"/>
      <c r="G15" s="63" t="n"/>
      <c r="H15" s="299">
        <f>'TERM 1'!AA15</f>
        <v/>
      </c>
      <c r="I15" s="63" t="n"/>
      <c r="J15" s="63" t="n"/>
      <c r="K15" s="63" t="n"/>
      <c r="L15" s="63" t="n"/>
      <c r="M15" s="64" t="n"/>
      <c r="N15" s="62" t="n"/>
      <c r="O15" s="63" t="n"/>
      <c r="P15" s="300">
        <f>'TERM 2'!AA15</f>
        <v/>
      </c>
      <c r="Q15" s="63" t="n"/>
      <c r="R15" s="63" t="n"/>
      <c r="S15" s="63" t="n"/>
      <c r="T15" s="63" t="n"/>
      <c r="U15" s="64" t="n"/>
      <c r="V15" s="694">
        <f>'TERM 3'!AA15</f>
        <v/>
      </c>
      <c r="W15" s="673" t="n"/>
      <c r="X15" s="673" t="n"/>
      <c r="Y15" s="690" t="n"/>
      <c r="Z15" s="574">
        <f>IFERROR((H15+P15+V15)/3, "")</f>
        <v/>
      </c>
      <c r="AA15" s="673" t="n"/>
      <c r="AB15" s="673" t="n"/>
      <c r="AC15" s="329">
        <f t="array" ref="AC15">IF(Z15="", "", _xlfn.IFS(Z15&gt;=90, "Advancing", Z15&gt;=80, "Benchmarking", Z15&gt;=75, "Connecting", Z15&gt;=65, "Developing", Z15&gt;=0, "Emerging"))</f>
        <v/>
      </c>
      <c r="AD15" s="302" t="n"/>
      <c r="AE15" s="292" t="n"/>
      <c r="AF15" s="291" t="n"/>
      <c r="AG15" s="291" t="n"/>
      <c r="AH15" s="291" t="n"/>
      <c r="AI15" s="293" t="n"/>
      <c r="AK15" s="292" t="n"/>
      <c r="AM15" s="295" t="n"/>
      <c r="AN15" s="295" t="n"/>
      <c r="AO15" s="295" t="n"/>
      <c r="AP15" s="295" t="n"/>
      <c r="AQ15" s="295" t="n"/>
      <c r="AR15" s="295" t="n"/>
      <c r="AS15" s="295" t="n"/>
      <c r="AT15" s="295" t="n"/>
      <c r="AU15" s="295" t="n"/>
      <c r="AV15" s="295" t="n"/>
      <c r="AW15" s="295" t="n"/>
      <c r="AX15" s="295" t="n"/>
      <c r="AY15" s="295" t="n"/>
      <c r="AZ15" s="295" t="n"/>
      <c r="BA15" s="295" t="n"/>
      <c r="BB15" s="295" t="n"/>
      <c r="BC15" s="295" t="n"/>
      <c r="BD15" s="295" t="n"/>
      <c r="BE15" s="295" t="n"/>
    </row>
    <row r="16" ht="18" customFormat="1" customHeight="1" s="294">
      <c r="A16" s="22" t="n">
        <v>4</v>
      </c>
      <c r="B16" s="689">
        <f>'INPUT DATA'!L14</f>
        <v/>
      </c>
      <c r="C16" s="673" t="n"/>
      <c r="D16" s="673" t="n"/>
      <c r="E16" s="690" t="n"/>
      <c r="F16" s="62" t="n"/>
      <c r="G16" s="63" t="n"/>
      <c r="H16" s="299">
        <f>'TERM 1'!AA16</f>
        <v/>
      </c>
      <c r="I16" s="63" t="n"/>
      <c r="J16" s="63" t="n"/>
      <c r="K16" s="63" t="n"/>
      <c r="L16" s="63" t="n"/>
      <c r="M16" s="64" t="n"/>
      <c r="N16" s="62" t="n"/>
      <c r="O16" s="63" t="n"/>
      <c r="P16" s="300">
        <f>'TERM 2'!AA16</f>
        <v/>
      </c>
      <c r="Q16" s="63" t="n"/>
      <c r="R16" s="63" t="n"/>
      <c r="S16" s="63" t="n"/>
      <c r="T16" s="63" t="n"/>
      <c r="U16" s="64" t="n"/>
      <c r="V16" s="694">
        <f>'TERM 3'!AA16</f>
        <v/>
      </c>
      <c r="W16" s="673" t="n"/>
      <c r="X16" s="673" t="n"/>
      <c r="Y16" s="690" t="n"/>
      <c r="Z16" s="574">
        <f>IFERROR((H16+P16+V16)/3, "")</f>
        <v/>
      </c>
      <c r="AA16" s="673" t="n"/>
      <c r="AB16" s="673" t="n"/>
      <c r="AC16" s="329">
        <f t="array" ref="AC16">IF(Z16="", "", _xlfn.IFS(Z16&gt;=90, "Advancing", Z16&gt;=80, "Benchmarking", Z16&gt;=75, "Connecting", Z16&gt;=65, "Developing", Z16&gt;=0, "Emerging"))</f>
        <v/>
      </c>
      <c r="AD16" s="302" t="n"/>
      <c r="AE16" s="292" t="n"/>
      <c r="AF16" s="291" t="n"/>
      <c r="AG16" s="291" t="n"/>
      <c r="AH16" s="291" t="n"/>
      <c r="AI16" s="293" t="n"/>
      <c r="AK16" s="292" t="n"/>
      <c r="AM16" s="295" t="n"/>
      <c r="AN16" s="295" t="n"/>
      <c r="AO16" s="295" t="n"/>
      <c r="AP16" s="295" t="n"/>
      <c r="AQ16" s="295" t="n"/>
      <c r="AR16" s="295" t="n"/>
      <c r="AS16" s="295" t="n"/>
      <c r="AT16" s="295" t="n"/>
      <c r="AU16" s="295" t="n"/>
      <c r="AV16" s="295" t="n"/>
      <c r="AW16" s="295" t="n"/>
      <c r="AX16" s="295" t="n"/>
      <c r="AY16" s="295" t="n"/>
      <c r="AZ16" s="295" t="n"/>
      <c r="BA16" s="295" t="n"/>
      <c r="BB16" s="295" t="n"/>
      <c r="BC16" s="295" t="n"/>
      <c r="BD16" s="295" t="n"/>
      <c r="BE16" s="295" t="n"/>
    </row>
    <row r="17" ht="18" customFormat="1" customHeight="1" s="294">
      <c r="A17" s="22" t="n">
        <v>5</v>
      </c>
      <c r="B17" s="689">
        <f>'INPUT DATA'!L15</f>
        <v/>
      </c>
      <c r="C17" s="673" t="n"/>
      <c r="D17" s="673" t="n"/>
      <c r="E17" s="690" t="n"/>
      <c r="F17" s="62" t="n"/>
      <c r="G17" s="63" t="n"/>
      <c r="H17" s="299">
        <f>'TERM 1'!AA17</f>
        <v/>
      </c>
      <c r="I17" s="63" t="n"/>
      <c r="J17" s="63" t="n"/>
      <c r="K17" s="63" t="n"/>
      <c r="L17" s="63" t="n"/>
      <c r="M17" s="64" t="n"/>
      <c r="N17" s="62" t="n"/>
      <c r="O17" s="63" t="n"/>
      <c r="P17" s="300">
        <f>'TERM 2'!AA17</f>
        <v/>
      </c>
      <c r="Q17" s="63" t="n"/>
      <c r="R17" s="63" t="n"/>
      <c r="S17" s="63" t="n"/>
      <c r="T17" s="63" t="n"/>
      <c r="U17" s="64" t="n"/>
      <c r="V17" s="694">
        <f>'TERM 3'!AA17</f>
        <v/>
      </c>
      <c r="W17" s="673" t="n"/>
      <c r="X17" s="673" t="n"/>
      <c r="Y17" s="690" t="n"/>
      <c r="Z17" s="574">
        <f>IFERROR((H17+P17+V17)/3, "")</f>
        <v/>
      </c>
      <c r="AA17" s="673" t="n"/>
      <c r="AB17" s="673" t="n"/>
      <c r="AC17" s="329">
        <f t="array" ref="AC17">IF(Z17="", "", _xlfn.IFS(Z17&gt;=90, "Advancing", Z17&gt;=80, "Benchmarking", Z17&gt;=75, "Connecting", Z17&gt;=65, "Developing", Z17&gt;=0, "Emerging"))</f>
        <v/>
      </c>
      <c r="AD17" s="302" t="n"/>
      <c r="AE17" s="292" t="n"/>
      <c r="AF17" s="291" t="n"/>
      <c r="AG17" s="291" t="n"/>
      <c r="AH17" s="291" t="n"/>
      <c r="AI17" s="293" t="n"/>
      <c r="AK17" s="292" t="n"/>
      <c r="AM17" s="295" t="n"/>
      <c r="AN17" s="295" t="n"/>
      <c r="AO17" s="295" t="n"/>
      <c r="AP17" s="295" t="n"/>
      <c r="AQ17" s="295" t="n"/>
      <c r="AR17" s="295" t="n"/>
      <c r="AS17" s="295" t="n"/>
      <c r="AT17" s="295" t="n"/>
      <c r="AU17" s="295" t="n"/>
      <c r="AV17" s="295" t="n"/>
      <c r="AW17" s="295" t="n"/>
      <c r="AX17" s="295" t="n"/>
      <c r="AY17" s="295" t="n"/>
      <c r="AZ17" s="295" t="n"/>
      <c r="BA17" s="295" t="n"/>
      <c r="BB17" s="295" t="n"/>
      <c r="BC17" s="295" t="n"/>
      <c r="BD17" s="295" t="n"/>
      <c r="BE17" s="295" t="n"/>
    </row>
    <row r="18" ht="18" customFormat="1" customHeight="1" s="294">
      <c r="A18" s="22" t="n">
        <v>6</v>
      </c>
      <c r="B18" s="689">
        <f>'INPUT DATA'!L16</f>
        <v/>
      </c>
      <c r="C18" s="673" t="n"/>
      <c r="D18" s="673" t="n"/>
      <c r="E18" s="690" t="n"/>
      <c r="F18" s="62" t="n"/>
      <c r="G18" s="63" t="n"/>
      <c r="H18" s="299">
        <f>'TERM 1'!AA18</f>
        <v/>
      </c>
      <c r="I18" s="63" t="n"/>
      <c r="J18" s="63" t="n"/>
      <c r="K18" s="63" t="n"/>
      <c r="L18" s="63" t="n"/>
      <c r="M18" s="64" t="n"/>
      <c r="N18" s="62" t="n"/>
      <c r="O18" s="63" t="n"/>
      <c r="P18" s="300">
        <f>'TERM 2'!AA18</f>
        <v/>
      </c>
      <c r="Q18" s="63" t="n"/>
      <c r="R18" s="63" t="n"/>
      <c r="S18" s="63" t="n"/>
      <c r="T18" s="63" t="n"/>
      <c r="U18" s="64" t="n"/>
      <c r="V18" s="694">
        <f>'TERM 3'!AA18</f>
        <v/>
      </c>
      <c r="W18" s="673" t="n"/>
      <c r="X18" s="673" t="n"/>
      <c r="Y18" s="690" t="n"/>
      <c r="Z18" s="574">
        <f>IFERROR((H18+P18+V18)/3, "")</f>
        <v/>
      </c>
      <c r="AA18" s="673" t="n"/>
      <c r="AB18" s="673" t="n"/>
      <c r="AC18" s="329">
        <f t="array" ref="AC18">IF(Z18="", "", _xlfn.IFS(Z18&gt;=90, "Advancing", Z18&gt;=80, "Benchmarking", Z18&gt;=75, "Connecting", Z18&gt;=65, "Developing", Z18&gt;=0, "Emerging"))</f>
        <v/>
      </c>
      <c r="AD18" s="302" t="n"/>
      <c r="AE18" s="292" t="n"/>
      <c r="AF18" s="291" t="n"/>
      <c r="AG18" s="291" t="n"/>
      <c r="AH18" s="291" t="n"/>
      <c r="AI18" s="293" t="n"/>
      <c r="AK18" s="292" t="n"/>
      <c r="AM18" s="295" t="n"/>
      <c r="AN18" s="295" t="n"/>
      <c r="AO18" s="295" t="n"/>
      <c r="AP18" s="295" t="n"/>
      <c r="AQ18" s="295" t="n"/>
      <c r="AR18" s="295" t="n"/>
      <c r="AS18" s="295" t="n"/>
      <c r="AT18" s="295" t="n"/>
      <c r="AU18" s="295" t="n"/>
      <c r="AV18" s="295" t="n"/>
      <c r="AW18" s="295" t="n"/>
      <c r="AX18" s="295" t="n"/>
      <c r="AY18" s="295" t="n"/>
      <c r="AZ18" s="295" t="n"/>
      <c r="BA18" s="295" t="n"/>
      <c r="BB18" s="295" t="n"/>
      <c r="BC18" s="295" t="n"/>
      <c r="BD18" s="295" t="n"/>
      <c r="BE18" s="295" t="n"/>
    </row>
    <row r="19" ht="18" customFormat="1" customHeight="1" s="294">
      <c r="A19" s="22" t="n">
        <v>7</v>
      </c>
      <c r="B19" s="689">
        <f>'INPUT DATA'!L17</f>
        <v/>
      </c>
      <c r="C19" s="673" t="n"/>
      <c r="D19" s="673" t="n"/>
      <c r="E19" s="690" t="n"/>
      <c r="F19" s="62" t="n"/>
      <c r="G19" s="63" t="n"/>
      <c r="H19" s="299">
        <f>'TERM 1'!AA19</f>
        <v/>
      </c>
      <c r="I19" s="63" t="n"/>
      <c r="J19" s="63" t="n"/>
      <c r="K19" s="63" t="n"/>
      <c r="L19" s="63" t="n"/>
      <c r="M19" s="64" t="n"/>
      <c r="N19" s="62" t="n"/>
      <c r="O19" s="63" t="n"/>
      <c r="P19" s="300">
        <f>'TERM 2'!AA19</f>
        <v/>
      </c>
      <c r="Q19" s="63" t="n"/>
      <c r="R19" s="63" t="n"/>
      <c r="S19" s="63" t="n"/>
      <c r="T19" s="63" t="n"/>
      <c r="U19" s="64" t="n"/>
      <c r="V19" s="694">
        <f>'TERM 3'!AA19</f>
        <v/>
      </c>
      <c r="W19" s="673" t="n"/>
      <c r="X19" s="673" t="n"/>
      <c r="Y19" s="690" t="n"/>
      <c r="Z19" s="574">
        <f>IFERROR((H19+P19+V19)/3, "")</f>
        <v/>
      </c>
      <c r="AA19" s="673" t="n"/>
      <c r="AB19" s="673" t="n"/>
      <c r="AC19" s="329">
        <f t="array" ref="AC19">IF(Z19="", "", _xlfn.IFS(Z19&gt;=90, "Advancing", Z19&gt;=80, "Benchmarking", Z19&gt;=75, "Connecting", Z19&gt;=65, "Developing", Z19&gt;=0, "Emerging"))</f>
        <v/>
      </c>
      <c r="AD19" s="302" t="n"/>
      <c r="AE19" s="292" t="n"/>
      <c r="AF19" s="291" t="n"/>
      <c r="AG19" s="291" t="n"/>
      <c r="AH19" s="291" t="n"/>
      <c r="AI19" s="293" t="n"/>
      <c r="AK19" s="292" t="n"/>
      <c r="AM19" s="295" t="n"/>
      <c r="AN19" s="295" t="n"/>
      <c r="AO19" s="295" t="n"/>
      <c r="AP19" s="295" t="n"/>
      <c r="AQ19" s="295" t="n"/>
      <c r="AR19" s="295" t="n"/>
      <c r="AS19" s="295" t="n"/>
      <c r="AT19" s="295" t="n"/>
      <c r="AU19" s="295" t="n"/>
      <c r="AV19" s="295" t="n"/>
      <c r="AW19" s="295" t="n"/>
      <c r="AX19" s="295" t="n"/>
      <c r="AY19" s="295" t="n"/>
      <c r="AZ19" s="295" t="n"/>
      <c r="BA19" s="295" t="n"/>
      <c r="BB19" s="295" t="n"/>
      <c r="BC19" s="295" t="n"/>
      <c r="BD19" s="295" t="n"/>
      <c r="BE19" s="295" t="n"/>
    </row>
    <row r="20" ht="18" customFormat="1" customHeight="1" s="294">
      <c r="A20" s="22" t="n">
        <v>8</v>
      </c>
      <c r="B20" s="689">
        <f>'INPUT DATA'!L18</f>
        <v/>
      </c>
      <c r="C20" s="673" t="n"/>
      <c r="D20" s="673" t="n"/>
      <c r="E20" s="690" t="n"/>
      <c r="F20" s="62" t="n"/>
      <c r="G20" s="63" t="n"/>
      <c r="H20" s="299">
        <f>'TERM 1'!AA20</f>
        <v/>
      </c>
      <c r="I20" s="63" t="n"/>
      <c r="J20" s="63" t="n"/>
      <c r="K20" s="63" t="n"/>
      <c r="L20" s="63" t="n"/>
      <c r="M20" s="64" t="n"/>
      <c r="N20" s="62" t="n"/>
      <c r="O20" s="63" t="n"/>
      <c r="P20" s="300">
        <f>'TERM 2'!AA20</f>
        <v/>
      </c>
      <c r="Q20" s="63" t="n"/>
      <c r="R20" s="63" t="n"/>
      <c r="S20" s="63" t="n"/>
      <c r="T20" s="63" t="n"/>
      <c r="U20" s="64" t="n"/>
      <c r="V20" s="694">
        <f>'TERM 3'!AA20</f>
        <v/>
      </c>
      <c r="W20" s="673" t="n"/>
      <c r="X20" s="673" t="n"/>
      <c r="Y20" s="690" t="n"/>
      <c r="Z20" s="574">
        <f>IFERROR((H20+P20+V20)/3, "")</f>
        <v/>
      </c>
      <c r="AA20" s="673" t="n"/>
      <c r="AB20" s="673" t="n"/>
      <c r="AC20" s="329">
        <f t="array" ref="AC20">IF(Z20="", "", _xlfn.IFS(Z20&gt;=90, "Advancing", Z20&gt;=80, "Benchmarking", Z20&gt;=75, "Connecting", Z20&gt;=65, "Developing", Z20&gt;=0, "Emerging"))</f>
        <v/>
      </c>
      <c r="AD20" s="302" t="n"/>
      <c r="AE20" s="292" t="n"/>
      <c r="AF20" s="291" t="n"/>
      <c r="AG20" s="291" t="n"/>
      <c r="AH20" s="291" t="n"/>
      <c r="AI20" s="293" t="n"/>
      <c r="AK20" s="292" t="n"/>
      <c r="AM20" s="295" t="n"/>
      <c r="AN20" s="295" t="n"/>
      <c r="AO20" s="295" t="n"/>
      <c r="AP20" s="295" t="n"/>
      <c r="AQ20" s="295" t="n"/>
      <c r="AR20" s="295" t="n"/>
      <c r="AS20" s="295" t="n"/>
      <c r="AT20" s="295" t="n"/>
      <c r="AU20" s="295" t="n"/>
      <c r="AV20" s="295" t="n"/>
      <c r="AW20" s="295" t="n"/>
      <c r="AX20" s="295" t="n"/>
      <c r="AY20" s="295" t="n"/>
      <c r="AZ20" s="295" t="n"/>
      <c r="BA20" s="295" t="n"/>
      <c r="BB20" s="295" t="n"/>
      <c r="BC20" s="295" t="n"/>
      <c r="BD20" s="295" t="n"/>
      <c r="BE20" s="295" t="n"/>
    </row>
    <row r="21" ht="18" customFormat="1" customHeight="1" s="294">
      <c r="A21" s="22" t="n">
        <v>9</v>
      </c>
      <c r="B21" s="689">
        <f>'INPUT DATA'!L19</f>
        <v/>
      </c>
      <c r="C21" s="673" t="n"/>
      <c r="D21" s="673" t="n"/>
      <c r="E21" s="690" t="n"/>
      <c r="F21" s="62" t="n"/>
      <c r="G21" s="63" t="n"/>
      <c r="H21" s="299">
        <f>'TERM 1'!AA21</f>
        <v/>
      </c>
      <c r="I21" s="63" t="n"/>
      <c r="J21" s="63" t="n"/>
      <c r="K21" s="63" t="n"/>
      <c r="L21" s="63" t="n"/>
      <c r="M21" s="64" t="n"/>
      <c r="N21" s="62" t="n"/>
      <c r="O21" s="63" t="n"/>
      <c r="P21" s="300">
        <f>'TERM 2'!AA21</f>
        <v/>
      </c>
      <c r="Q21" s="63" t="n"/>
      <c r="R21" s="63" t="n"/>
      <c r="S21" s="63" t="n"/>
      <c r="T21" s="63" t="n"/>
      <c r="U21" s="64" t="n"/>
      <c r="V21" s="694">
        <f>'TERM 3'!AA21</f>
        <v/>
      </c>
      <c r="W21" s="673" t="n"/>
      <c r="X21" s="673" t="n"/>
      <c r="Y21" s="690" t="n"/>
      <c r="Z21" s="574">
        <f>IFERROR((H21+P21+V21)/3, "")</f>
        <v/>
      </c>
      <c r="AA21" s="673" t="n"/>
      <c r="AB21" s="673" t="n"/>
      <c r="AC21" s="329">
        <f t="array" ref="AC21">IF(Z21="", "", _xlfn.IFS(Z21&gt;=90, "Advancing", Z21&gt;=80, "Benchmarking", Z21&gt;=75, "Connecting", Z21&gt;=65, "Developing", Z21&gt;=0, "Emerging"))</f>
        <v/>
      </c>
      <c r="AD21" s="302" t="n"/>
      <c r="AE21" s="292" t="n"/>
      <c r="AF21" s="291" t="n"/>
      <c r="AG21" s="291" t="n"/>
      <c r="AH21" s="291" t="n"/>
      <c r="AI21" s="293" t="n"/>
      <c r="AK21" s="292" t="n"/>
      <c r="AM21" s="295" t="n"/>
      <c r="AN21" s="295" t="n"/>
      <c r="AO21" s="295" t="n"/>
      <c r="AP21" s="295" t="n"/>
      <c r="AQ21" s="295" t="n"/>
      <c r="AR21" s="295" t="n"/>
      <c r="AS21" s="295" t="n"/>
      <c r="AT21" s="295" t="n"/>
      <c r="AU21" s="295" t="n"/>
      <c r="AV21" s="295" t="n"/>
      <c r="AW21" s="295" t="n"/>
      <c r="AX21" s="295" t="n"/>
      <c r="AY21" s="295" t="n"/>
      <c r="AZ21" s="295" t="n"/>
      <c r="BA21" s="295" t="n"/>
      <c r="BB21" s="295" t="n"/>
      <c r="BC21" s="295" t="n"/>
      <c r="BD21" s="295" t="n"/>
      <c r="BE21" s="295" t="n"/>
    </row>
    <row r="22" ht="18" customFormat="1" customHeight="1" s="294">
      <c r="A22" s="22" t="n">
        <v>10</v>
      </c>
      <c r="B22" s="689">
        <f>'INPUT DATA'!L20</f>
        <v/>
      </c>
      <c r="C22" s="673" t="n"/>
      <c r="D22" s="673" t="n"/>
      <c r="E22" s="690" t="n"/>
      <c r="F22" s="62" t="n"/>
      <c r="G22" s="63" t="n"/>
      <c r="H22" s="299">
        <f>'TERM 1'!AA22</f>
        <v/>
      </c>
      <c r="I22" s="63" t="n"/>
      <c r="J22" s="63" t="n"/>
      <c r="K22" s="63" t="n"/>
      <c r="L22" s="63" t="n"/>
      <c r="M22" s="64" t="n"/>
      <c r="N22" s="62" t="n"/>
      <c r="O22" s="63" t="n"/>
      <c r="P22" s="300">
        <f>'TERM 2'!AA22</f>
        <v/>
      </c>
      <c r="Q22" s="63" t="n"/>
      <c r="R22" s="63" t="n"/>
      <c r="S22" s="63" t="n"/>
      <c r="T22" s="63" t="n"/>
      <c r="U22" s="64" t="n"/>
      <c r="V22" s="694">
        <f>'TERM 3'!AA22</f>
        <v/>
      </c>
      <c r="W22" s="673" t="n"/>
      <c r="X22" s="673" t="n"/>
      <c r="Y22" s="690" t="n"/>
      <c r="Z22" s="574">
        <f>IFERROR((H22+P22+V22)/3, "")</f>
        <v/>
      </c>
      <c r="AA22" s="673" t="n"/>
      <c r="AB22" s="673" t="n"/>
      <c r="AC22" s="329">
        <f t="array" ref="AC22">IF(Z22="", "", _xlfn.IFS(Z22&gt;=90, "Advancing", Z22&gt;=80, "Benchmarking", Z22&gt;=75, "Connecting", Z22&gt;=65, "Developing", Z22&gt;=0, "Emerging"))</f>
        <v/>
      </c>
      <c r="AD22" s="302" t="n"/>
      <c r="AE22" s="292" t="n"/>
      <c r="AF22" s="291" t="n"/>
      <c r="AG22" s="291" t="n"/>
      <c r="AH22" s="291" t="n"/>
      <c r="AI22" s="293" t="n"/>
      <c r="AK22" s="292" t="n"/>
      <c r="AM22" s="295" t="n"/>
      <c r="AN22" s="295" t="n"/>
      <c r="AO22" s="295" t="n"/>
      <c r="AP22" s="295" t="n"/>
      <c r="AQ22" s="295" t="n"/>
      <c r="AR22" s="295" t="n"/>
      <c r="AS22" s="295" t="n"/>
      <c r="AT22" s="295" t="n"/>
      <c r="AU22" s="295" t="n"/>
      <c r="AV22" s="295" t="n"/>
      <c r="AW22" s="295" t="n"/>
      <c r="AX22" s="295" t="n"/>
      <c r="AY22" s="295" t="n"/>
      <c r="AZ22" s="295" t="n"/>
      <c r="BA22" s="295" t="n"/>
      <c r="BB22" s="295" t="n"/>
      <c r="BC22" s="295" t="n"/>
      <c r="BD22" s="295" t="n"/>
      <c r="BE22" s="295" t="n"/>
    </row>
    <row r="23" ht="18" customFormat="1" customHeight="1" s="294">
      <c r="A23" s="22" t="n">
        <v>11</v>
      </c>
      <c r="B23" s="689">
        <f>'INPUT DATA'!L21</f>
        <v/>
      </c>
      <c r="C23" s="673" t="n"/>
      <c r="D23" s="673" t="n"/>
      <c r="E23" s="690" t="n"/>
      <c r="F23" s="62" t="n"/>
      <c r="G23" s="63" t="n"/>
      <c r="H23" s="299">
        <f>'TERM 1'!AA23</f>
        <v/>
      </c>
      <c r="I23" s="63" t="n"/>
      <c r="J23" s="63" t="n"/>
      <c r="K23" s="63" t="n"/>
      <c r="L23" s="63" t="n"/>
      <c r="M23" s="64" t="n"/>
      <c r="N23" s="62" t="n"/>
      <c r="O23" s="63" t="n"/>
      <c r="P23" s="300">
        <f>'TERM 2'!AA23</f>
        <v/>
      </c>
      <c r="Q23" s="63" t="n"/>
      <c r="R23" s="63" t="n"/>
      <c r="S23" s="63" t="n"/>
      <c r="T23" s="63" t="n"/>
      <c r="U23" s="64" t="n"/>
      <c r="V23" s="694">
        <f>'TERM 3'!AA23</f>
        <v/>
      </c>
      <c r="W23" s="673" t="n"/>
      <c r="X23" s="673" t="n"/>
      <c r="Y23" s="690" t="n"/>
      <c r="Z23" s="574">
        <f>IFERROR((H23+P23+V23)/3, "")</f>
        <v/>
      </c>
      <c r="AA23" s="673" t="n"/>
      <c r="AB23" s="673" t="n"/>
      <c r="AC23" s="329">
        <f t="array" ref="AC23">IF(Z23="", "", _xlfn.IFS(Z23&gt;=90, "Advancing", Z23&gt;=80, "Benchmarking", Z23&gt;=75, "Connecting", Z23&gt;=65, "Developing", Z23&gt;=0, "Emerging"))</f>
        <v/>
      </c>
      <c r="AD23" s="302" t="n"/>
      <c r="AE23" s="292" t="n"/>
      <c r="AF23" s="291" t="n"/>
      <c r="AG23" s="291" t="n"/>
      <c r="AH23" s="291" t="n"/>
      <c r="AI23" s="293" t="n"/>
      <c r="AK23" s="292" t="n"/>
      <c r="AM23" s="296" t="n"/>
      <c r="AN23" s="296" t="n"/>
      <c r="AO23" s="296" t="n"/>
      <c r="AP23" s="296" t="n"/>
      <c r="AQ23" s="296" t="n"/>
      <c r="AR23" s="296" t="n"/>
      <c r="AS23" s="296" t="n"/>
      <c r="AT23" s="296" t="n"/>
      <c r="AU23" s="296" t="n"/>
      <c r="AV23" s="296" t="n"/>
      <c r="AW23" s="296" t="n"/>
      <c r="AX23" s="296" t="n"/>
      <c r="AY23" s="296" t="n"/>
      <c r="AZ23" s="296" t="n"/>
      <c r="BA23" s="296" t="n"/>
      <c r="BB23" s="296" t="n"/>
      <c r="BC23" s="296" t="n"/>
      <c r="BD23" s="296" t="n"/>
      <c r="BE23" s="296" t="n"/>
    </row>
    <row r="24" ht="18" customFormat="1" customHeight="1" s="294">
      <c r="A24" s="22" t="n">
        <v>12</v>
      </c>
      <c r="B24" s="689">
        <f>'INPUT DATA'!L22</f>
        <v/>
      </c>
      <c r="C24" s="673" t="n"/>
      <c r="D24" s="673" t="n"/>
      <c r="E24" s="690" t="n"/>
      <c r="F24" s="62" t="n"/>
      <c r="G24" s="63" t="n"/>
      <c r="H24" s="299">
        <f>'TERM 1'!AA24</f>
        <v/>
      </c>
      <c r="I24" s="63" t="n"/>
      <c r="J24" s="63" t="n"/>
      <c r="K24" s="63" t="n"/>
      <c r="L24" s="63" t="n"/>
      <c r="M24" s="64" t="n"/>
      <c r="N24" s="62" t="n"/>
      <c r="O24" s="63" t="n"/>
      <c r="P24" s="300">
        <f>'TERM 2'!AA24</f>
        <v/>
      </c>
      <c r="Q24" s="63" t="n"/>
      <c r="R24" s="63" t="n"/>
      <c r="S24" s="63" t="n"/>
      <c r="T24" s="63" t="n"/>
      <c r="U24" s="64" t="n"/>
      <c r="V24" s="694">
        <f>'TERM 3'!AA24</f>
        <v/>
      </c>
      <c r="W24" s="673" t="n"/>
      <c r="X24" s="673" t="n"/>
      <c r="Y24" s="690" t="n"/>
      <c r="Z24" s="574">
        <f>IFERROR((H24+P24+V24)/3, "")</f>
        <v/>
      </c>
      <c r="AA24" s="673" t="n"/>
      <c r="AB24" s="673" t="n"/>
      <c r="AC24" s="329">
        <f t="array" ref="AC24">IF(Z24="", "", _xlfn.IFS(Z24&gt;=90, "Advancing", Z24&gt;=80, "Benchmarking", Z24&gt;=75, "Connecting", Z24&gt;=65, "Developing", Z24&gt;=0, "Emerging"))</f>
        <v/>
      </c>
      <c r="AD24" s="302" t="n"/>
      <c r="AE24" s="292" t="n"/>
      <c r="AF24" s="291" t="n"/>
      <c r="AG24" s="291" t="n"/>
      <c r="AH24" s="291" t="n"/>
      <c r="AI24" s="293" t="n"/>
      <c r="AK24" s="292" t="n"/>
      <c r="AM24" s="296" t="n"/>
      <c r="AN24" s="296" t="n"/>
      <c r="AO24" s="296" t="n"/>
      <c r="AP24" s="296" t="n"/>
      <c r="AQ24" s="296" t="n"/>
      <c r="AR24" s="296" t="n"/>
      <c r="AS24" s="296" t="n"/>
      <c r="AT24" s="296" t="n"/>
      <c r="AU24" s="296" t="n"/>
      <c r="AV24" s="296" t="n"/>
      <c r="AW24" s="296" t="n"/>
      <c r="AX24" s="296" t="n"/>
      <c r="AY24" s="296" t="n"/>
      <c r="AZ24" s="296" t="n"/>
      <c r="BA24" s="296" t="n"/>
      <c r="BB24" s="296" t="n"/>
      <c r="BC24" s="296" t="n"/>
      <c r="BD24" s="296" t="n"/>
      <c r="BE24" s="296" t="n"/>
    </row>
    <row r="25" ht="18" customFormat="1" customHeight="1" s="294">
      <c r="A25" s="22" t="n">
        <v>13</v>
      </c>
      <c r="B25" s="689">
        <f>'INPUT DATA'!L23</f>
        <v/>
      </c>
      <c r="C25" s="673" t="n"/>
      <c r="D25" s="673" t="n"/>
      <c r="E25" s="690" t="n"/>
      <c r="F25" s="62" t="n"/>
      <c r="G25" s="63" t="n"/>
      <c r="H25" s="299">
        <f>'TERM 1'!AA25</f>
        <v/>
      </c>
      <c r="I25" s="63" t="n"/>
      <c r="J25" s="63" t="n"/>
      <c r="K25" s="63" t="n"/>
      <c r="L25" s="63" t="n"/>
      <c r="M25" s="64" t="n"/>
      <c r="N25" s="62" t="n"/>
      <c r="O25" s="63" t="n"/>
      <c r="P25" s="300">
        <f>'TERM 2'!AA25</f>
        <v/>
      </c>
      <c r="Q25" s="63" t="n"/>
      <c r="R25" s="63" t="n"/>
      <c r="S25" s="63" t="n"/>
      <c r="T25" s="63" t="n"/>
      <c r="U25" s="64" t="n"/>
      <c r="V25" s="694">
        <f>'TERM 3'!AA25</f>
        <v/>
      </c>
      <c r="W25" s="673" t="n"/>
      <c r="X25" s="673" t="n"/>
      <c r="Y25" s="690" t="n"/>
      <c r="Z25" s="574">
        <f>IFERROR((H25+P25+V25)/3, "")</f>
        <v/>
      </c>
      <c r="AA25" s="673" t="n"/>
      <c r="AB25" s="673" t="n"/>
      <c r="AC25" s="329">
        <f t="array" ref="AC25">IF(Z25="", "", _xlfn.IFS(Z25&gt;=90, "Advancing", Z25&gt;=80, "Benchmarking", Z25&gt;=75, "Connecting", Z25&gt;=65, "Developing", Z25&gt;=0, "Emerging"))</f>
        <v/>
      </c>
      <c r="AD25" s="302" t="n"/>
      <c r="AE25" s="292" t="n"/>
      <c r="AF25" s="291" t="n"/>
      <c r="AG25" s="291" t="n"/>
      <c r="AH25" s="291" t="n"/>
      <c r="AI25" s="293" t="n"/>
      <c r="AK25" s="292" t="n"/>
      <c r="AM25" s="296" t="n"/>
      <c r="AN25" s="296" t="n"/>
      <c r="AO25" s="296" t="n"/>
      <c r="AP25" s="296" t="n"/>
      <c r="AQ25" s="296" t="n"/>
      <c r="AR25" s="296" t="n"/>
      <c r="AS25" s="296" t="n"/>
      <c r="AT25" s="296" t="n"/>
      <c r="AU25" s="296" t="n"/>
      <c r="AV25" s="296" t="n"/>
      <c r="AW25" s="296" t="n"/>
      <c r="AX25" s="296" t="n"/>
      <c r="AY25" s="296" t="n"/>
      <c r="AZ25" s="296" t="n"/>
      <c r="BA25" s="296" t="n"/>
      <c r="BB25" s="296" t="n"/>
      <c r="BC25" s="296" t="n"/>
      <c r="BD25" s="296" t="n"/>
      <c r="BE25" s="296" t="n"/>
    </row>
    <row r="26" ht="18" customFormat="1" customHeight="1" s="294">
      <c r="A26" s="22" t="n">
        <v>14</v>
      </c>
      <c r="B26" s="689">
        <f>'INPUT DATA'!L24</f>
        <v/>
      </c>
      <c r="C26" s="673" t="n"/>
      <c r="D26" s="673" t="n"/>
      <c r="E26" s="690" t="n"/>
      <c r="F26" s="62" t="n"/>
      <c r="G26" s="63" t="n"/>
      <c r="H26" s="299">
        <f>'TERM 1'!AA26</f>
        <v/>
      </c>
      <c r="I26" s="63" t="n"/>
      <c r="J26" s="63" t="n"/>
      <c r="K26" s="63" t="n"/>
      <c r="L26" s="63" t="n"/>
      <c r="M26" s="64" t="n"/>
      <c r="N26" s="62" t="n"/>
      <c r="O26" s="63" t="n"/>
      <c r="P26" s="300">
        <f>'TERM 2'!AA26</f>
        <v/>
      </c>
      <c r="Q26" s="63" t="n"/>
      <c r="R26" s="63" t="n"/>
      <c r="S26" s="63" t="n"/>
      <c r="T26" s="63" t="n"/>
      <c r="U26" s="64" t="n"/>
      <c r="V26" s="694">
        <f>'TERM 3'!AA26</f>
        <v/>
      </c>
      <c r="W26" s="673" t="n"/>
      <c r="X26" s="673" t="n"/>
      <c r="Y26" s="690" t="n"/>
      <c r="Z26" s="574">
        <f>IFERROR((H26+P26+V26)/3, "")</f>
        <v/>
      </c>
      <c r="AA26" s="673" t="n"/>
      <c r="AB26" s="673" t="n"/>
      <c r="AC26" s="329">
        <f t="array" ref="AC26">IF(Z26="", "", _xlfn.IFS(Z26&gt;=90, "Advancing", Z26&gt;=80, "Benchmarking", Z26&gt;=75, "Connecting", Z26&gt;=65, "Developing", Z26&gt;=0, "Emerging"))</f>
        <v/>
      </c>
      <c r="AD26" s="302" t="n"/>
      <c r="AE26" s="292" t="n"/>
      <c r="AF26" s="291" t="n"/>
      <c r="AG26" s="291" t="n"/>
      <c r="AH26" s="291" t="n"/>
      <c r="AI26" s="293" t="n"/>
      <c r="AK26" s="292" t="n"/>
      <c r="AM26" s="296" t="n"/>
      <c r="AN26" s="296" t="n"/>
      <c r="AO26" s="296" t="n"/>
      <c r="AP26" s="296" t="n"/>
      <c r="AQ26" s="296" t="n"/>
      <c r="AR26" s="296" t="n"/>
      <c r="AS26" s="296" t="n"/>
      <c r="AT26" s="296" t="n"/>
      <c r="AU26" s="296" t="n"/>
      <c r="AV26" s="296" t="n"/>
      <c r="AW26" s="296" t="n"/>
      <c r="AX26" s="296" t="n"/>
      <c r="AY26" s="296" t="n"/>
      <c r="AZ26" s="296" t="n"/>
      <c r="BA26" s="296" t="n"/>
      <c r="BB26" s="296" t="n"/>
      <c r="BC26" s="296" t="n"/>
      <c r="BD26" s="296" t="n"/>
      <c r="BE26" s="296" t="n"/>
    </row>
    <row r="27" ht="18" customFormat="1" customHeight="1" s="294">
      <c r="A27" s="22" t="n">
        <v>15</v>
      </c>
      <c r="B27" s="689">
        <f>'INPUT DATA'!L25</f>
        <v/>
      </c>
      <c r="C27" s="673" t="n"/>
      <c r="D27" s="673" t="n"/>
      <c r="E27" s="690" t="n"/>
      <c r="F27" s="62" t="n"/>
      <c r="G27" s="63" t="n"/>
      <c r="H27" s="299">
        <f>'TERM 1'!AA27</f>
        <v/>
      </c>
      <c r="I27" s="63" t="n"/>
      <c r="J27" s="63" t="n"/>
      <c r="K27" s="63" t="n"/>
      <c r="L27" s="63" t="n"/>
      <c r="M27" s="64" t="n"/>
      <c r="N27" s="62" t="n"/>
      <c r="O27" s="63" t="n"/>
      <c r="P27" s="300">
        <f>'TERM 2'!AA27</f>
        <v/>
      </c>
      <c r="Q27" s="63" t="n"/>
      <c r="R27" s="63" t="n"/>
      <c r="S27" s="63" t="n"/>
      <c r="T27" s="63" t="n"/>
      <c r="U27" s="64" t="n"/>
      <c r="V27" s="694">
        <f>'TERM 3'!AA27</f>
        <v/>
      </c>
      <c r="W27" s="673" t="n"/>
      <c r="X27" s="673" t="n"/>
      <c r="Y27" s="690" t="n"/>
      <c r="Z27" s="574">
        <f>IFERROR((H27+P27+V27)/3, "")</f>
        <v/>
      </c>
      <c r="AA27" s="673" t="n"/>
      <c r="AB27" s="673" t="n"/>
      <c r="AC27" s="329">
        <f t="array" ref="AC27">IF(Z27="", "", _xlfn.IFS(Z27&gt;=90, "Advancing", Z27&gt;=80, "Benchmarking", Z27&gt;=75, "Connecting", Z27&gt;=65, "Developing", Z27&gt;=0, "Emerging"))</f>
        <v/>
      </c>
      <c r="AD27" s="302" t="n"/>
      <c r="AE27" s="292" t="n"/>
      <c r="AF27" s="291" t="n"/>
      <c r="AG27" s="291" t="n"/>
      <c r="AH27" s="291" t="n"/>
      <c r="AI27" s="293" t="n"/>
      <c r="AK27" s="292" t="n"/>
      <c r="AM27" s="296" t="n"/>
      <c r="AN27" s="296" t="n"/>
      <c r="AO27" s="296" t="n"/>
      <c r="AP27" s="296" t="n"/>
      <c r="AQ27" s="296" t="n"/>
      <c r="AR27" s="296" t="n"/>
      <c r="AS27" s="296" t="n"/>
      <c r="AT27" s="296" t="n"/>
      <c r="AU27" s="296" t="n"/>
      <c r="AV27" s="296" t="n"/>
      <c r="AW27" s="296" t="n"/>
      <c r="AX27" s="296" t="n"/>
      <c r="AY27" s="296" t="n"/>
      <c r="AZ27" s="296" t="n"/>
      <c r="BA27" s="296" t="n"/>
      <c r="BB27" s="296" t="n"/>
      <c r="BC27" s="296" t="n"/>
    </row>
    <row r="28" ht="18" customFormat="1" customHeight="1" s="294">
      <c r="A28" s="22" t="n">
        <v>16</v>
      </c>
      <c r="B28" s="689">
        <f>'INPUT DATA'!L26</f>
        <v/>
      </c>
      <c r="C28" s="673" t="n"/>
      <c r="D28" s="673" t="n"/>
      <c r="E28" s="690" t="n"/>
      <c r="F28" s="62" t="n"/>
      <c r="G28" s="63" t="n"/>
      <c r="H28" s="299">
        <f>'TERM 1'!AA28</f>
        <v/>
      </c>
      <c r="I28" s="63" t="n"/>
      <c r="J28" s="63" t="n"/>
      <c r="K28" s="63" t="n"/>
      <c r="L28" s="63" t="n"/>
      <c r="M28" s="64" t="n"/>
      <c r="N28" s="62" t="n"/>
      <c r="O28" s="63" t="n"/>
      <c r="P28" s="300">
        <f>'TERM 2'!AA28</f>
        <v/>
      </c>
      <c r="Q28" s="63" t="n"/>
      <c r="R28" s="63" t="n"/>
      <c r="S28" s="63" t="n"/>
      <c r="T28" s="63" t="n"/>
      <c r="U28" s="64" t="n"/>
      <c r="V28" s="694">
        <f>'TERM 3'!AA28</f>
        <v/>
      </c>
      <c r="W28" s="673" t="n"/>
      <c r="X28" s="673" t="n"/>
      <c r="Y28" s="690" t="n"/>
      <c r="Z28" s="574">
        <f>IFERROR((H28+P28+V28)/3, "")</f>
        <v/>
      </c>
      <c r="AA28" s="673" t="n"/>
      <c r="AB28" s="673" t="n"/>
      <c r="AC28" s="329">
        <f t="array" ref="AC28">IF(Z28="", "", _xlfn.IFS(Z28&gt;=90, "Advancing", Z28&gt;=80, "Benchmarking", Z28&gt;=75, "Connecting", Z28&gt;=65, "Developing", Z28&gt;=0, "Emerging"))</f>
        <v/>
      </c>
      <c r="AD28" s="302" t="n"/>
      <c r="AE28" s="292" t="n"/>
      <c r="AF28" s="291" t="n"/>
      <c r="AG28" s="291" t="n"/>
      <c r="AH28" s="291" t="n"/>
      <c r="AI28" s="293" t="n"/>
      <c r="AK28" s="292" t="n"/>
      <c r="AM28" s="296" t="n"/>
      <c r="AN28" s="296" t="n"/>
      <c r="AO28" s="296" t="n"/>
      <c r="AP28" s="296" t="n"/>
      <c r="AQ28" s="296" t="n"/>
      <c r="AR28" s="296" t="n"/>
      <c r="AS28" s="296" t="n"/>
      <c r="AT28" s="296" t="n"/>
      <c r="AU28" s="296" t="n"/>
      <c r="AV28" s="296" t="n"/>
      <c r="AW28" s="296" t="n"/>
      <c r="AX28" s="296" t="n"/>
      <c r="AY28" s="296" t="n"/>
      <c r="AZ28" s="296" t="n"/>
      <c r="BA28" s="296" t="n"/>
      <c r="BB28" s="296" t="n"/>
      <c r="BC28" s="296" t="n"/>
    </row>
    <row r="29" ht="18" customFormat="1" customHeight="1" s="294">
      <c r="A29" s="22" t="n">
        <v>17</v>
      </c>
      <c r="B29" s="689">
        <f>'INPUT DATA'!L27</f>
        <v/>
      </c>
      <c r="C29" s="673" t="n"/>
      <c r="D29" s="673" t="n"/>
      <c r="E29" s="690" t="n"/>
      <c r="F29" s="62" t="n"/>
      <c r="G29" s="63" t="n"/>
      <c r="H29" s="299">
        <f>'TERM 1'!AA29</f>
        <v/>
      </c>
      <c r="I29" s="63" t="n"/>
      <c r="J29" s="63" t="n"/>
      <c r="K29" s="63" t="n"/>
      <c r="L29" s="63" t="n"/>
      <c r="M29" s="64" t="n"/>
      <c r="N29" s="62" t="n"/>
      <c r="O29" s="63" t="n"/>
      <c r="P29" s="300">
        <f>'TERM 2'!AA29</f>
        <v/>
      </c>
      <c r="Q29" s="63" t="n"/>
      <c r="R29" s="63" t="n"/>
      <c r="S29" s="63" t="n"/>
      <c r="T29" s="63" t="n"/>
      <c r="U29" s="64" t="n"/>
      <c r="V29" s="694">
        <f>'TERM 3'!AA29</f>
        <v/>
      </c>
      <c r="W29" s="673" t="n"/>
      <c r="X29" s="673" t="n"/>
      <c r="Y29" s="690" t="n"/>
      <c r="Z29" s="574">
        <f>IFERROR((H29+P29+V29)/3, "")</f>
        <v/>
      </c>
      <c r="AA29" s="673" t="n"/>
      <c r="AB29" s="673" t="n"/>
      <c r="AC29" s="329">
        <f t="array" ref="AC29">IF(Z29="", "", _xlfn.IFS(Z29&gt;=90, "Advancing", Z29&gt;=80, "Benchmarking", Z29&gt;=75, "Connecting", Z29&gt;=65, "Developing", Z29&gt;=0, "Emerging"))</f>
        <v/>
      </c>
      <c r="AD29" s="302" t="n"/>
      <c r="AE29" s="292" t="n"/>
      <c r="AF29" s="291" t="n"/>
      <c r="AG29" s="291" t="n"/>
      <c r="AH29" s="291" t="n"/>
      <c r="AI29" s="293" t="n"/>
      <c r="AK29" s="292" t="n"/>
      <c r="AM29" s="296" t="n"/>
      <c r="AN29" s="296" t="n"/>
      <c r="AO29" s="296" t="n"/>
      <c r="AP29" s="296" t="n"/>
      <c r="AQ29" s="296" t="n"/>
      <c r="AR29" s="296" t="n"/>
      <c r="AS29" s="296" t="n"/>
      <c r="AT29" s="296" t="n"/>
      <c r="AU29" s="296" t="n"/>
      <c r="AV29" s="296" t="n"/>
      <c r="AW29" s="296" t="n"/>
      <c r="AX29" s="296" t="n"/>
      <c r="AY29" s="296" t="n"/>
      <c r="AZ29" s="296" t="n"/>
      <c r="BA29" s="296" t="n"/>
      <c r="BB29" s="296" t="n"/>
      <c r="BC29" s="296" t="n"/>
    </row>
    <row r="30" ht="18" customFormat="1" customHeight="1" s="294">
      <c r="A30" s="22" t="n">
        <v>18</v>
      </c>
      <c r="B30" s="689">
        <f>'INPUT DATA'!L28</f>
        <v/>
      </c>
      <c r="C30" s="673" t="n"/>
      <c r="D30" s="673" t="n"/>
      <c r="E30" s="690" t="n"/>
      <c r="F30" s="62" t="n"/>
      <c r="G30" s="63" t="n"/>
      <c r="H30" s="299">
        <f>'TERM 1'!AA30</f>
        <v/>
      </c>
      <c r="I30" s="63" t="n"/>
      <c r="J30" s="63" t="n"/>
      <c r="K30" s="63" t="n"/>
      <c r="L30" s="63" t="n"/>
      <c r="M30" s="64" t="n"/>
      <c r="N30" s="62" t="n"/>
      <c r="O30" s="63" t="n"/>
      <c r="P30" s="300">
        <f>'TERM 2'!AA30</f>
        <v/>
      </c>
      <c r="Q30" s="63" t="n"/>
      <c r="R30" s="63" t="n"/>
      <c r="S30" s="63" t="n"/>
      <c r="T30" s="63" t="n"/>
      <c r="U30" s="64" t="n"/>
      <c r="V30" s="694">
        <f>'TERM 3'!AA30</f>
        <v/>
      </c>
      <c r="W30" s="673" t="n"/>
      <c r="X30" s="673" t="n"/>
      <c r="Y30" s="690" t="n"/>
      <c r="Z30" s="574">
        <f>IFERROR((H30+P30+V30)/3, "")</f>
        <v/>
      </c>
      <c r="AA30" s="673" t="n"/>
      <c r="AB30" s="673" t="n"/>
      <c r="AC30" s="329">
        <f t="array" ref="AC30">IF(Z30="", "", _xlfn.IFS(Z30&gt;=90, "Advancing", Z30&gt;=80, "Benchmarking", Z30&gt;=75, "Connecting", Z30&gt;=65, "Developing", Z30&gt;=0, "Emerging"))</f>
        <v/>
      </c>
      <c r="AD30" s="302" t="n"/>
      <c r="AE30" s="292" t="n"/>
      <c r="AF30" s="291" t="n"/>
      <c r="AG30" s="291" t="n"/>
      <c r="AH30" s="291" t="n"/>
      <c r="AI30" s="293" t="n"/>
      <c r="AK30" s="292" t="n"/>
      <c r="AM30" s="296" t="n"/>
      <c r="AN30" s="296" t="n"/>
      <c r="AO30" s="296" t="n"/>
      <c r="AP30" s="296" t="n"/>
      <c r="AQ30" s="296" t="n"/>
      <c r="AR30" s="296" t="n"/>
      <c r="AS30" s="296" t="n"/>
      <c r="AT30" s="296" t="n"/>
      <c r="AU30" s="296" t="n"/>
      <c r="AV30" s="296" t="n"/>
      <c r="AW30" s="296" t="n"/>
      <c r="AX30" s="296" t="n"/>
      <c r="AY30" s="296" t="n"/>
      <c r="AZ30" s="296" t="n"/>
      <c r="BA30" s="296" t="n"/>
      <c r="BB30" s="296" t="n"/>
      <c r="BC30" s="296" t="n"/>
    </row>
    <row r="31" ht="18" customFormat="1" customHeight="1" s="294">
      <c r="A31" s="22" t="n">
        <v>19</v>
      </c>
      <c r="B31" s="689">
        <f>'INPUT DATA'!L29</f>
        <v/>
      </c>
      <c r="C31" s="673" t="n"/>
      <c r="D31" s="673" t="n"/>
      <c r="E31" s="690" t="n"/>
      <c r="F31" s="62" t="n"/>
      <c r="G31" s="63" t="n"/>
      <c r="H31" s="299">
        <f>'TERM 1'!AA31</f>
        <v/>
      </c>
      <c r="I31" s="63" t="n"/>
      <c r="J31" s="63" t="n"/>
      <c r="K31" s="63" t="n"/>
      <c r="L31" s="63" t="n"/>
      <c r="M31" s="64" t="n"/>
      <c r="N31" s="62" t="n"/>
      <c r="O31" s="63" t="n"/>
      <c r="P31" s="300">
        <f>'TERM 2'!AA31</f>
        <v/>
      </c>
      <c r="Q31" s="63" t="n"/>
      <c r="R31" s="63" t="n"/>
      <c r="S31" s="63" t="n"/>
      <c r="T31" s="63" t="n"/>
      <c r="U31" s="64" t="n"/>
      <c r="V31" s="694">
        <f>'TERM 3'!AA31</f>
        <v/>
      </c>
      <c r="W31" s="673" t="n"/>
      <c r="X31" s="673" t="n"/>
      <c r="Y31" s="690" t="n"/>
      <c r="Z31" s="574">
        <f>IFERROR((H31+P31+V31)/3, "")</f>
        <v/>
      </c>
      <c r="AA31" s="673" t="n"/>
      <c r="AB31" s="673" t="n"/>
      <c r="AC31" s="329">
        <f t="array" ref="AC31">IF(Z31="", "", _xlfn.IFS(Z31&gt;=90, "Advancing", Z31&gt;=80, "Benchmarking", Z31&gt;=75, "Connecting", Z31&gt;=65, "Developing", Z31&gt;=0, "Emerging"))</f>
        <v/>
      </c>
      <c r="AD31" s="302" t="n"/>
      <c r="AE31" s="292" t="n"/>
      <c r="AF31" s="291" t="n"/>
      <c r="AG31" s="291" t="n"/>
      <c r="AH31" s="291" t="n"/>
      <c r="AI31" s="293" t="n"/>
      <c r="AK31" s="292" t="n"/>
      <c r="AM31" s="296" t="n"/>
      <c r="AN31" s="296" t="n"/>
      <c r="AO31" s="296" t="n"/>
      <c r="AP31" s="296" t="n"/>
      <c r="AQ31" s="296" t="n"/>
      <c r="AR31" s="296" t="n"/>
      <c r="AS31" s="296" t="n"/>
      <c r="AT31" s="296" t="n"/>
      <c r="AU31" s="296" t="n"/>
      <c r="AV31" s="296" t="n"/>
      <c r="AW31" s="296" t="n"/>
      <c r="AX31" s="296" t="n"/>
      <c r="AY31" s="296" t="n"/>
      <c r="AZ31" s="296" t="n"/>
      <c r="BA31" s="296" t="n"/>
      <c r="BB31" s="296" t="n"/>
      <c r="BC31" s="296" t="n"/>
    </row>
    <row r="32" ht="18" customFormat="1" customHeight="1" s="294">
      <c r="A32" s="22" t="n">
        <v>20</v>
      </c>
      <c r="B32" s="689">
        <f>'INPUT DATA'!L30</f>
        <v/>
      </c>
      <c r="C32" s="673" t="n"/>
      <c r="D32" s="673" t="n"/>
      <c r="E32" s="690" t="n"/>
      <c r="F32" s="62" t="n"/>
      <c r="G32" s="63" t="n"/>
      <c r="H32" s="299">
        <f>'TERM 1'!AA32</f>
        <v/>
      </c>
      <c r="I32" s="63" t="n"/>
      <c r="J32" s="63" t="n"/>
      <c r="K32" s="63" t="n"/>
      <c r="L32" s="63" t="n"/>
      <c r="M32" s="64" t="n"/>
      <c r="N32" s="62" t="n"/>
      <c r="O32" s="63" t="n"/>
      <c r="P32" s="300">
        <f>'TERM 2'!AA32</f>
        <v/>
      </c>
      <c r="Q32" s="63" t="n"/>
      <c r="R32" s="63" t="n"/>
      <c r="S32" s="63" t="n"/>
      <c r="T32" s="63" t="n"/>
      <c r="U32" s="64" t="n"/>
      <c r="V32" s="694">
        <f>'TERM 3'!AA32</f>
        <v/>
      </c>
      <c r="W32" s="673" t="n"/>
      <c r="X32" s="673" t="n"/>
      <c r="Y32" s="690" t="n"/>
      <c r="Z32" s="574">
        <f>IFERROR((H32+P32+V32)/3, "")</f>
        <v/>
      </c>
      <c r="AA32" s="673" t="n"/>
      <c r="AB32" s="673" t="n"/>
      <c r="AC32" s="329">
        <f t="array" ref="AC32">IF(Z32="", "", _xlfn.IFS(Z32&gt;=90, "Advancing", Z32&gt;=80, "Benchmarking", Z32&gt;=75, "Connecting", Z32&gt;=65, "Developing", Z32&gt;=0, "Emerging"))</f>
        <v/>
      </c>
      <c r="AD32" s="302" t="n"/>
      <c r="AE32" s="292" t="n"/>
      <c r="AF32" s="291" t="n"/>
      <c r="AG32" s="291" t="n"/>
      <c r="AH32" s="291" t="n"/>
      <c r="AI32" s="293" t="n"/>
      <c r="AK32" s="292" t="n"/>
      <c r="AM32" s="296" t="n"/>
      <c r="AN32" s="296" t="n"/>
      <c r="AO32" s="296" t="n"/>
      <c r="AP32" s="296" t="n"/>
      <c r="AQ32" s="296" t="n"/>
      <c r="AR32" s="296" t="n"/>
      <c r="AS32" s="296" t="n"/>
      <c r="AT32" s="296" t="n"/>
      <c r="AU32" s="296" t="n"/>
      <c r="AV32" s="296" t="n"/>
      <c r="AW32" s="296" t="n"/>
      <c r="AX32" s="296" t="n"/>
      <c r="AY32" s="296" t="n"/>
      <c r="AZ32" s="296" t="n"/>
      <c r="BA32" s="296" t="n"/>
      <c r="BB32" s="296" t="n"/>
      <c r="BC32" s="296" t="n"/>
    </row>
    <row r="33" ht="18" customFormat="1" customHeight="1" s="294">
      <c r="A33" s="22" t="n">
        <v>21</v>
      </c>
      <c r="B33" s="689">
        <f>'INPUT DATA'!L31</f>
        <v/>
      </c>
      <c r="C33" s="673" t="n"/>
      <c r="D33" s="673" t="n"/>
      <c r="E33" s="690" t="n"/>
      <c r="F33" s="62" t="n"/>
      <c r="G33" s="63" t="n"/>
      <c r="H33" s="299">
        <f>'TERM 1'!AA33</f>
        <v/>
      </c>
      <c r="I33" s="63" t="n"/>
      <c r="J33" s="63" t="n"/>
      <c r="K33" s="63" t="n"/>
      <c r="L33" s="63" t="n"/>
      <c r="M33" s="64" t="n"/>
      <c r="N33" s="62" t="n"/>
      <c r="O33" s="63" t="n"/>
      <c r="P33" s="300">
        <f>'TERM 2'!AA33</f>
        <v/>
      </c>
      <c r="Q33" s="63" t="n"/>
      <c r="R33" s="63" t="n"/>
      <c r="S33" s="63" t="n"/>
      <c r="T33" s="63" t="n"/>
      <c r="U33" s="64" t="n"/>
      <c r="V33" s="694">
        <f>'TERM 3'!AA33</f>
        <v/>
      </c>
      <c r="W33" s="673" t="n"/>
      <c r="X33" s="673" t="n"/>
      <c r="Y33" s="690" t="n"/>
      <c r="Z33" s="574">
        <f>IFERROR((H33+P33+V33)/3, "")</f>
        <v/>
      </c>
      <c r="AA33" s="673" t="n"/>
      <c r="AB33" s="673" t="n"/>
      <c r="AC33" s="329">
        <f t="array" ref="AC33">IF(Z33="", "", _xlfn.IFS(Z33&gt;=90, "Advancing", Z33&gt;=80, "Benchmarking", Z33&gt;=75, "Connecting", Z33&gt;=65, "Developing", Z33&gt;=0, "Emerging"))</f>
        <v/>
      </c>
      <c r="AD33" s="302" t="n"/>
      <c r="AE33" s="292" t="n"/>
      <c r="AF33" s="291" t="n"/>
      <c r="AG33" s="291" t="n"/>
      <c r="AH33" s="291" t="n"/>
      <c r="AI33" s="293" t="n"/>
      <c r="AK33" s="292" t="n"/>
      <c r="AM33" s="296" t="n"/>
      <c r="AN33" s="296" t="n"/>
      <c r="AO33" s="296" t="n"/>
      <c r="AP33" s="296" t="n"/>
      <c r="AQ33" s="296" t="n"/>
      <c r="AR33" s="296" t="n"/>
      <c r="AS33" s="296" t="n"/>
      <c r="AT33" s="296" t="n"/>
      <c r="AU33" s="296" t="n"/>
      <c r="AV33" s="296" t="n"/>
      <c r="AW33" s="296" t="n"/>
      <c r="AX33" s="296" t="n"/>
      <c r="AY33" s="296" t="n"/>
      <c r="AZ33" s="296" t="n"/>
      <c r="BA33" s="296" t="n"/>
      <c r="BB33" s="296" t="n"/>
      <c r="BC33" s="296" t="n"/>
    </row>
    <row r="34" ht="18" customFormat="1" customHeight="1" s="294">
      <c r="A34" s="22" t="n">
        <v>22</v>
      </c>
      <c r="B34" s="689">
        <f>'INPUT DATA'!L32</f>
        <v/>
      </c>
      <c r="C34" s="673" t="n"/>
      <c r="D34" s="673" t="n"/>
      <c r="E34" s="690" t="n"/>
      <c r="F34" s="62" t="n"/>
      <c r="G34" s="63" t="n"/>
      <c r="H34" s="299">
        <f>'TERM 1'!AA34</f>
        <v/>
      </c>
      <c r="I34" s="63" t="n"/>
      <c r="J34" s="63" t="n"/>
      <c r="K34" s="63" t="n"/>
      <c r="L34" s="63" t="n"/>
      <c r="M34" s="64" t="n"/>
      <c r="N34" s="62" t="n"/>
      <c r="O34" s="63" t="n"/>
      <c r="P34" s="300">
        <f>'TERM 2'!AA34</f>
        <v/>
      </c>
      <c r="Q34" s="63" t="n"/>
      <c r="R34" s="63" t="n"/>
      <c r="S34" s="63" t="n"/>
      <c r="T34" s="63" t="n"/>
      <c r="U34" s="64" t="n"/>
      <c r="V34" s="694">
        <f>'TERM 3'!AA34</f>
        <v/>
      </c>
      <c r="W34" s="673" t="n"/>
      <c r="X34" s="673" t="n"/>
      <c r="Y34" s="690" t="n"/>
      <c r="Z34" s="574">
        <f>IFERROR((H34+P34+V34)/3, "")</f>
        <v/>
      </c>
      <c r="AA34" s="673" t="n"/>
      <c r="AB34" s="673" t="n"/>
      <c r="AC34" s="329">
        <f t="array" ref="AC34">IF(Z34="", "", _xlfn.IFS(Z34&gt;=90, "Advancing", Z34&gt;=80, "Benchmarking", Z34&gt;=75, "Connecting", Z34&gt;=65, "Developing", Z34&gt;=0, "Emerging"))</f>
        <v/>
      </c>
      <c r="AD34" s="302" t="n"/>
      <c r="AE34" s="292" t="n"/>
      <c r="AF34" s="291" t="n"/>
      <c r="AG34" s="291" t="n"/>
      <c r="AH34" s="291" t="n"/>
      <c r="AI34" s="293" t="n"/>
      <c r="AK34" s="292" t="n"/>
      <c r="AM34" s="296" t="n"/>
    </row>
    <row r="35" ht="18" customFormat="1" customHeight="1" s="294">
      <c r="A35" s="22" t="n">
        <v>23</v>
      </c>
      <c r="B35" s="689">
        <f>'INPUT DATA'!L33</f>
        <v/>
      </c>
      <c r="C35" s="673" t="n"/>
      <c r="D35" s="673" t="n"/>
      <c r="E35" s="690" t="n"/>
      <c r="F35" s="62" t="n"/>
      <c r="G35" s="63" t="n"/>
      <c r="H35" s="299">
        <f>'TERM 1'!AA35</f>
        <v/>
      </c>
      <c r="I35" s="63" t="n"/>
      <c r="J35" s="63" t="n"/>
      <c r="K35" s="63" t="n"/>
      <c r="L35" s="63" t="n"/>
      <c r="M35" s="64" t="n"/>
      <c r="N35" s="62" t="n"/>
      <c r="O35" s="63" t="n"/>
      <c r="P35" s="300">
        <f>'TERM 2'!AA35</f>
        <v/>
      </c>
      <c r="Q35" s="63" t="n"/>
      <c r="R35" s="63" t="n"/>
      <c r="S35" s="63" t="n"/>
      <c r="T35" s="63" t="n"/>
      <c r="U35" s="64" t="n"/>
      <c r="V35" s="694">
        <f>'TERM 3'!AA35</f>
        <v/>
      </c>
      <c r="W35" s="673" t="n"/>
      <c r="X35" s="673" t="n"/>
      <c r="Y35" s="690" t="n"/>
      <c r="Z35" s="574">
        <f>IFERROR((H35+P35+V35)/3, "")</f>
        <v/>
      </c>
      <c r="AA35" s="673" t="n"/>
      <c r="AB35" s="673" t="n"/>
      <c r="AC35" s="329">
        <f t="array" ref="AC35">IF(Z35="", "", _xlfn.IFS(Z35&gt;=90, "Advancing", Z35&gt;=80, "Benchmarking", Z35&gt;=75, "Connecting", Z35&gt;=65, "Developing", Z35&gt;=0, "Emerging"))</f>
        <v/>
      </c>
      <c r="AD35" s="302" t="n"/>
      <c r="AE35" s="292" t="n"/>
      <c r="AF35" s="291" t="n"/>
      <c r="AG35" s="291" t="n"/>
      <c r="AH35" s="291" t="n"/>
      <c r="AI35" s="293" t="n"/>
      <c r="AK35" s="292" t="n"/>
      <c r="AM35" s="296" t="n"/>
    </row>
    <row r="36" ht="18" customFormat="1" customHeight="1" s="294">
      <c r="A36" s="22" t="n">
        <v>24</v>
      </c>
      <c r="B36" s="689">
        <f>'INPUT DATA'!L34</f>
        <v/>
      </c>
      <c r="C36" s="673" t="n"/>
      <c r="D36" s="673" t="n"/>
      <c r="E36" s="690" t="n"/>
      <c r="F36" s="62" t="n"/>
      <c r="G36" s="63" t="n"/>
      <c r="H36" s="299">
        <f>'TERM 1'!AA36</f>
        <v/>
      </c>
      <c r="I36" s="63" t="n"/>
      <c r="J36" s="63" t="n"/>
      <c r="K36" s="63" t="n"/>
      <c r="L36" s="63" t="n"/>
      <c r="M36" s="64" t="n"/>
      <c r="N36" s="62" t="n"/>
      <c r="O36" s="63" t="n"/>
      <c r="P36" s="300">
        <f>'TERM 2'!AA36</f>
        <v/>
      </c>
      <c r="Q36" s="63" t="n"/>
      <c r="R36" s="63" t="n"/>
      <c r="S36" s="63" t="n"/>
      <c r="T36" s="63" t="n"/>
      <c r="U36" s="64" t="n"/>
      <c r="V36" s="694">
        <f>'TERM 3'!AA36</f>
        <v/>
      </c>
      <c r="W36" s="673" t="n"/>
      <c r="X36" s="673" t="n"/>
      <c r="Y36" s="690" t="n"/>
      <c r="Z36" s="574">
        <f>IFERROR((H36+P36+V36)/3, "")</f>
        <v/>
      </c>
      <c r="AA36" s="673" t="n"/>
      <c r="AB36" s="673" t="n"/>
      <c r="AC36" s="329">
        <f t="array" ref="AC36">IF(Z36="", "", _xlfn.IFS(Z36&gt;=90, "Advancing", Z36&gt;=80, "Benchmarking", Z36&gt;=75, "Connecting", Z36&gt;=65, "Developing", Z36&gt;=0, "Emerging"))</f>
        <v/>
      </c>
      <c r="AD36" s="302" t="n"/>
      <c r="AE36" s="292" t="n"/>
      <c r="AF36" s="291" t="n"/>
      <c r="AG36" s="291" t="n"/>
      <c r="AH36" s="291" t="n"/>
      <c r="AI36" s="293" t="n"/>
      <c r="AK36" s="292" t="n"/>
      <c r="AM36" s="296" t="n"/>
    </row>
    <row r="37" ht="18" customFormat="1" customHeight="1" s="294">
      <c r="A37" s="22" t="n">
        <v>25</v>
      </c>
      <c r="B37" s="689">
        <f>'INPUT DATA'!L35</f>
        <v/>
      </c>
      <c r="C37" s="673" t="n"/>
      <c r="D37" s="673" t="n"/>
      <c r="E37" s="690" t="n"/>
      <c r="F37" s="62" t="n"/>
      <c r="G37" s="63" t="n"/>
      <c r="H37" s="299">
        <f>'TERM 1'!AA37</f>
        <v/>
      </c>
      <c r="I37" s="63" t="n"/>
      <c r="J37" s="63" t="n"/>
      <c r="K37" s="63" t="n"/>
      <c r="L37" s="63" t="n"/>
      <c r="M37" s="64" t="n"/>
      <c r="N37" s="62" t="n"/>
      <c r="O37" s="63" t="n"/>
      <c r="P37" s="300">
        <f>'TERM 2'!AA37</f>
        <v/>
      </c>
      <c r="Q37" s="63" t="n"/>
      <c r="R37" s="63" t="n"/>
      <c r="S37" s="63" t="n"/>
      <c r="T37" s="63" t="n"/>
      <c r="U37" s="64" t="n"/>
      <c r="V37" s="694">
        <f>'TERM 3'!AA37</f>
        <v/>
      </c>
      <c r="W37" s="673" t="n"/>
      <c r="X37" s="673" t="n"/>
      <c r="Y37" s="690" t="n"/>
      <c r="Z37" s="574">
        <f>IFERROR((H37+P37+V37)/3, "")</f>
        <v/>
      </c>
      <c r="AA37" s="673" t="n"/>
      <c r="AB37" s="673" t="n"/>
      <c r="AC37" s="331">
        <f t="array" ref="AC37">IF(Z37="", "", _xlfn.IFS(Z37&gt;=90, "Advancing", Z37&gt;=80, "Benchmarking", Z37&gt;=75, "Connecting", Z37&gt;=65, "Developing", Z37&gt;=0, "Emerging"))</f>
        <v/>
      </c>
      <c r="AD37" s="302" t="n"/>
      <c r="AE37" s="292" t="n"/>
      <c r="AF37" s="291" t="n"/>
      <c r="AG37" s="291" t="n"/>
      <c r="AH37" s="291" t="n"/>
      <c r="AI37" s="293" t="n"/>
      <c r="AK37" s="292" t="n"/>
      <c r="AM37" s="296" t="n"/>
    </row>
    <row r="38" ht="18" customFormat="1" customHeight="1" s="294">
      <c r="A38" s="22" t="n">
        <v>26</v>
      </c>
      <c r="B38" s="689">
        <f>'INPUT DATA'!L36</f>
        <v/>
      </c>
      <c r="C38" s="673" t="n"/>
      <c r="D38" s="673" t="n"/>
      <c r="E38" s="690" t="n"/>
      <c r="F38" s="62" t="n"/>
      <c r="G38" s="63" t="n"/>
      <c r="H38" s="299">
        <f>'TERM 1'!AA38</f>
        <v/>
      </c>
      <c r="I38" s="63" t="n"/>
      <c r="J38" s="63" t="n"/>
      <c r="K38" s="63" t="n"/>
      <c r="L38" s="63" t="n"/>
      <c r="M38" s="64" t="n"/>
      <c r="N38" s="62" t="n"/>
      <c r="O38" s="63" t="n"/>
      <c r="P38" s="300">
        <f>'TERM 2'!AA38</f>
        <v/>
      </c>
      <c r="Q38" s="63" t="n"/>
      <c r="R38" s="63" t="n"/>
      <c r="S38" s="63" t="n"/>
      <c r="T38" s="63" t="n"/>
      <c r="U38" s="64" t="n"/>
      <c r="V38" s="694">
        <f>'TERM 3'!AA38</f>
        <v/>
      </c>
      <c r="W38" s="673" t="n"/>
      <c r="X38" s="673" t="n"/>
      <c r="Y38" s="690" t="n"/>
      <c r="Z38" s="574">
        <f>IFERROR((H38+P38+V38)/3, "")</f>
        <v/>
      </c>
      <c r="AA38" s="673" t="n"/>
      <c r="AB38" s="673" t="n"/>
      <c r="AC38" s="329">
        <f t="array" ref="AC38">IF(Z38="", "", _xlfn.IFS(Z38&gt;=90, "Advancing", Z38&gt;=80, "Benchmarking", Z38&gt;=75, "Connecting", Z38&gt;=65, "Developing", Z38&gt;=0, "Emerging"))</f>
        <v/>
      </c>
      <c r="AD38" s="302" t="n"/>
      <c r="AE38" s="292" t="n"/>
      <c r="AF38" s="291" t="n"/>
      <c r="AG38" s="291" t="n"/>
      <c r="AH38" s="291" t="n"/>
      <c r="AI38" s="293" t="n"/>
      <c r="AK38" s="292" t="n"/>
      <c r="AM38" s="296" t="n"/>
    </row>
    <row r="39" ht="18" customFormat="1" customHeight="1" s="294">
      <c r="A39" s="22" t="n">
        <v>27</v>
      </c>
      <c r="B39" s="689">
        <f>'INPUT DATA'!L37</f>
        <v/>
      </c>
      <c r="C39" s="673" t="n"/>
      <c r="D39" s="673" t="n"/>
      <c r="E39" s="690" t="n"/>
      <c r="F39" s="62" t="n"/>
      <c r="G39" s="63" t="n"/>
      <c r="H39" s="299">
        <f>'TERM 1'!AA39</f>
        <v/>
      </c>
      <c r="I39" s="63" t="n"/>
      <c r="J39" s="63" t="n"/>
      <c r="K39" s="63" t="n"/>
      <c r="L39" s="63" t="n"/>
      <c r="M39" s="64" t="n"/>
      <c r="N39" s="62" t="n"/>
      <c r="O39" s="63" t="n"/>
      <c r="P39" s="300">
        <f>'TERM 2'!AA39</f>
        <v/>
      </c>
      <c r="Q39" s="63" t="n"/>
      <c r="R39" s="63" t="n"/>
      <c r="S39" s="63" t="n"/>
      <c r="T39" s="63" t="n"/>
      <c r="U39" s="64" t="n"/>
      <c r="V39" s="694">
        <f>'TERM 3'!AA39</f>
        <v/>
      </c>
      <c r="W39" s="673" t="n"/>
      <c r="X39" s="673" t="n"/>
      <c r="Y39" s="690" t="n"/>
      <c r="Z39" s="574">
        <f>IFERROR((H39+P39+V39)/3, "")</f>
        <v/>
      </c>
      <c r="AA39" s="673" t="n"/>
      <c r="AB39" s="673" t="n"/>
      <c r="AC39" s="329">
        <f t="array" ref="AC39">IF(Z39="", "", _xlfn.IFS(Z39&gt;=90, "Advancing", Z39&gt;=80, "Benchmarking", Z39&gt;=75, "Connecting", Z39&gt;=65, "Developing", Z39&gt;=0, "Emerging"))</f>
        <v/>
      </c>
      <c r="AD39" s="302" t="n"/>
      <c r="AE39" s="292" t="n"/>
      <c r="AF39" s="291" t="n"/>
      <c r="AG39" s="291" t="n"/>
      <c r="AH39" s="291" t="n"/>
      <c r="AI39" s="293" t="n"/>
      <c r="AK39" s="292" t="n"/>
      <c r="AM39" s="296" t="n"/>
    </row>
    <row r="40" ht="18" customFormat="1" customHeight="1" s="294">
      <c r="A40" s="22" t="n">
        <v>28</v>
      </c>
      <c r="B40" s="689">
        <f>'INPUT DATA'!L38</f>
        <v/>
      </c>
      <c r="C40" s="673" t="n"/>
      <c r="D40" s="673" t="n"/>
      <c r="E40" s="690" t="n"/>
      <c r="F40" s="62" t="n"/>
      <c r="G40" s="63" t="n"/>
      <c r="H40" s="299">
        <f>'TERM 1'!AA40</f>
        <v/>
      </c>
      <c r="I40" s="63" t="n"/>
      <c r="J40" s="63" t="n"/>
      <c r="K40" s="63" t="n"/>
      <c r="L40" s="63" t="n"/>
      <c r="M40" s="64" t="n"/>
      <c r="N40" s="62" t="n"/>
      <c r="O40" s="63" t="n"/>
      <c r="P40" s="300">
        <f>'TERM 2'!AA40</f>
        <v/>
      </c>
      <c r="Q40" s="63" t="n"/>
      <c r="R40" s="63" t="n"/>
      <c r="S40" s="63" t="n"/>
      <c r="T40" s="63" t="n"/>
      <c r="U40" s="64" t="n"/>
      <c r="V40" s="694">
        <f>'TERM 3'!AA40</f>
        <v/>
      </c>
      <c r="W40" s="673" t="n"/>
      <c r="X40" s="673" t="n"/>
      <c r="Y40" s="690" t="n"/>
      <c r="Z40" s="574">
        <f>IFERROR((H40+P40+V40)/3, "")</f>
        <v/>
      </c>
      <c r="AA40" s="673" t="n"/>
      <c r="AB40" s="673" t="n"/>
      <c r="AC40" s="329">
        <f t="array" ref="AC40">IF(Z40="", "", _xlfn.IFS(Z40&gt;=90, "Advancing", Z40&gt;=80, "Benchmarking", Z40&gt;=75, "Connecting", Z40&gt;=65, "Developing", Z40&gt;=0, "Emerging"))</f>
        <v/>
      </c>
      <c r="AD40" s="302" t="n"/>
      <c r="AE40" s="292" t="n"/>
      <c r="AF40" s="291" t="n"/>
      <c r="AG40" s="291" t="n"/>
      <c r="AH40" s="291" t="n"/>
      <c r="AI40" s="293" t="n"/>
      <c r="AK40" s="292" t="n"/>
      <c r="AM40" s="296" t="n"/>
    </row>
    <row r="41" ht="18" customFormat="1" customHeight="1" s="294">
      <c r="A41" s="22" t="n">
        <v>29</v>
      </c>
      <c r="B41" s="689">
        <f>'INPUT DATA'!L39</f>
        <v/>
      </c>
      <c r="C41" s="673" t="n"/>
      <c r="D41" s="673" t="n"/>
      <c r="E41" s="690" t="n"/>
      <c r="F41" s="62" t="n"/>
      <c r="G41" s="63" t="n"/>
      <c r="H41" s="299">
        <f>'TERM 1'!AA41</f>
        <v/>
      </c>
      <c r="I41" s="63" t="n"/>
      <c r="J41" s="63" t="n"/>
      <c r="K41" s="63" t="n"/>
      <c r="L41" s="63" t="n"/>
      <c r="M41" s="64" t="n"/>
      <c r="N41" s="62" t="n"/>
      <c r="O41" s="63" t="n"/>
      <c r="P41" s="300">
        <f>'TERM 2'!AA41</f>
        <v/>
      </c>
      <c r="Q41" s="63" t="n"/>
      <c r="R41" s="63" t="n"/>
      <c r="S41" s="63" t="n"/>
      <c r="T41" s="63" t="n"/>
      <c r="U41" s="64" t="n"/>
      <c r="V41" s="694">
        <f>'TERM 3'!AA41</f>
        <v/>
      </c>
      <c r="W41" s="673" t="n"/>
      <c r="X41" s="673" t="n"/>
      <c r="Y41" s="690" t="n"/>
      <c r="Z41" s="574">
        <f>IFERROR((H41+P41+V41)/3, "")</f>
        <v/>
      </c>
      <c r="AA41" s="673" t="n"/>
      <c r="AB41" s="673" t="n"/>
      <c r="AC41" s="329">
        <f t="array" ref="AC41">IF(Z41="", "", _xlfn.IFS(Z41&gt;=90, "Advancing", Z41&gt;=80, "Benchmarking", Z41&gt;=75, "Connecting", Z41&gt;=65, "Developing", Z41&gt;=0, "Emerging"))</f>
        <v/>
      </c>
      <c r="AD41" s="302" t="n"/>
      <c r="AE41" s="292" t="n"/>
      <c r="AF41" s="291" t="n"/>
      <c r="AG41" s="291" t="n"/>
      <c r="AH41" s="291" t="n"/>
      <c r="AI41" s="293" t="n"/>
      <c r="AK41" s="292" t="n"/>
      <c r="AM41" s="296" t="n"/>
    </row>
    <row r="42" ht="18" customFormat="1" customHeight="1" s="294">
      <c r="A42" s="22" t="n">
        <v>30</v>
      </c>
      <c r="B42" s="689">
        <f>'INPUT DATA'!L40</f>
        <v/>
      </c>
      <c r="C42" s="673" t="n"/>
      <c r="D42" s="673" t="n"/>
      <c r="E42" s="690" t="n"/>
      <c r="F42" s="62" t="n"/>
      <c r="G42" s="63" t="n"/>
      <c r="H42" s="299">
        <f>'TERM 1'!AA42</f>
        <v/>
      </c>
      <c r="I42" s="63" t="n"/>
      <c r="J42" s="63" t="n"/>
      <c r="K42" s="63" t="n"/>
      <c r="L42" s="63" t="n"/>
      <c r="M42" s="64" t="n"/>
      <c r="N42" s="62" t="n"/>
      <c r="O42" s="63" t="n"/>
      <c r="P42" s="300">
        <f>'TERM 2'!AA42</f>
        <v/>
      </c>
      <c r="Q42" s="63" t="n"/>
      <c r="R42" s="63" t="n"/>
      <c r="S42" s="63" t="n"/>
      <c r="T42" s="63" t="n"/>
      <c r="U42" s="64" t="n"/>
      <c r="V42" s="694">
        <f>'TERM 3'!AA42</f>
        <v/>
      </c>
      <c r="W42" s="673" t="n"/>
      <c r="X42" s="673" t="n"/>
      <c r="Y42" s="690" t="n"/>
      <c r="Z42" s="574">
        <f>IFERROR((H42+P42+V42)/3, "")</f>
        <v/>
      </c>
      <c r="AA42" s="673" t="n"/>
      <c r="AB42" s="673" t="n"/>
      <c r="AC42" s="329">
        <f t="array" ref="AC42">IF(Z42="", "", _xlfn.IFS(Z42&gt;=90, "Advancing", Z42&gt;=80, "Benchmarking", Z42&gt;=75, "Connecting", Z42&gt;=65, "Developing", Z42&gt;=0, "Emerging"))</f>
        <v/>
      </c>
      <c r="AD42" s="302" t="n"/>
      <c r="AE42" s="292" t="n"/>
      <c r="AF42" s="291" t="n"/>
      <c r="AG42" s="291" t="n"/>
      <c r="AH42" s="291" t="n"/>
      <c r="AI42" s="293" t="n"/>
      <c r="AK42" s="292" t="n"/>
      <c r="AM42" s="296" t="n"/>
    </row>
    <row r="43" ht="18" customFormat="1" customHeight="1" s="294">
      <c r="A43" s="22" t="n">
        <v>31</v>
      </c>
      <c r="B43" s="689">
        <f>'INPUT DATA'!L41</f>
        <v/>
      </c>
      <c r="C43" s="673" t="n"/>
      <c r="D43" s="673" t="n"/>
      <c r="E43" s="690" t="n"/>
      <c r="F43" s="62" t="n"/>
      <c r="G43" s="63" t="n"/>
      <c r="H43" s="299">
        <f>'TERM 1'!AA43</f>
        <v/>
      </c>
      <c r="I43" s="63" t="n"/>
      <c r="J43" s="63" t="n"/>
      <c r="K43" s="63" t="n"/>
      <c r="L43" s="63" t="n"/>
      <c r="M43" s="64" t="n"/>
      <c r="N43" s="62" t="n"/>
      <c r="O43" s="63" t="n"/>
      <c r="P43" s="300">
        <f>'TERM 2'!AA43</f>
        <v/>
      </c>
      <c r="Q43" s="63" t="n"/>
      <c r="R43" s="63" t="n"/>
      <c r="S43" s="63" t="n"/>
      <c r="T43" s="63" t="n"/>
      <c r="U43" s="64" t="n"/>
      <c r="V43" s="694">
        <f>'TERM 3'!AA43</f>
        <v/>
      </c>
      <c r="W43" s="673" t="n"/>
      <c r="X43" s="673" t="n"/>
      <c r="Y43" s="690" t="n"/>
      <c r="Z43" s="574">
        <f>IFERROR((H43+P43+V43)/3, "")</f>
        <v/>
      </c>
      <c r="AA43" s="673" t="n"/>
      <c r="AB43" s="673" t="n"/>
      <c r="AC43" s="329">
        <f t="array" ref="AC43">IF(Z43="", "", _xlfn.IFS(Z43&gt;=90, "Advancing", Z43&gt;=80, "Benchmarking", Z43&gt;=75, "Connecting", Z43&gt;=65, "Developing", Z43&gt;=0, "Emerging"))</f>
        <v/>
      </c>
      <c r="AD43" s="302" t="n"/>
      <c r="AE43" s="292" t="n"/>
      <c r="AF43" s="291" t="n"/>
      <c r="AG43" s="291" t="n"/>
      <c r="AH43" s="291" t="n"/>
      <c r="AI43" s="293" t="n"/>
      <c r="AK43" s="292" t="n"/>
      <c r="AM43" s="296" t="n"/>
    </row>
    <row r="44" ht="18" customFormat="1" customHeight="1" s="294">
      <c r="A44" s="22" t="n">
        <v>32</v>
      </c>
      <c r="B44" s="689">
        <f>'INPUT DATA'!L42</f>
        <v/>
      </c>
      <c r="C44" s="673" t="n"/>
      <c r="D44" s="673" t="n"/>
      <c r="E44" s="690" t="n"/>
      <c r="F44" s="62" t="n"/>
      <c r="G44" s="63" t="n"/>
      <c r="H44" s="299">
        <f>'TERM 1'!AA44</f>
        <v/>
      </c>
      <c r="I44" s="63" t="n"/>
      <c r="J44" s="63" t="n"/>
      <c r="K44" s="63" t="n"/>
      <c r="L44" s="63" t="n"/>
      <c r="M44" s="64" t="n"/>
      <c r="N44" s="62" t="n"/>
      <c r="O44" s="63" t="n"/>
      <c r="P44" s="300">
        <f>'TERM 2'!AA44</f>
        <v/>
      </c>
      <c r="Q44" s="63" t="n"/>
      <c r="R44" s="63" t="n"/>
      <c r="S44" s="63" t="n"/>
      <c r="T44" s="63" t="n"/>
      <c r="U44" s="64" t="n"/>
      <c r="V44" s="694">
        <f>'TERM 3'!AA44</f>
        <v/>
      </c>
      <c r="W44" s="673" t="n"/>
      <c r="X44" s="673" t="n"/>
      <c r="Y44" s="690" t="n"/>
      <c r="Z44" s="574">
        <f>IFERROR((H44+P44+V44)/3, "")</f>
        <v/>
      </c>
      <c r="AA44" s="673" t="n"/>
      <c r="AB44" s="673" t="n"/>
      <c r="AC44" s="329">
        <f t="array" ref="AC44">IF(Z44="", "", _xlfn.IFS(Z44&gt;=90, "Advancing", Z44&gt;=80, "Benchmarking", Z44&gt;=75, "Connecting", Z44&gt;=65, "Developing", Z44&gt;=0, "Emerging"))</f>
        <v/>
      </c>
      <c r="AD44" s="302" t="n"/>
      <c r="AE44" s="292" t="n"/>
      <c r="AF44" s="291" t="n"/>
      <c r="AG44" s="291" t="n"/>
      <c r="AH44" s="291" t="n"/>
      <c r="AI44" s="293" t="n"/>
      <c r="AK44" s="292" t="n"/>
      <c r="AM44" s="296" t="n"/>
    </row>
    <row r="45" ht="18" customFormat="1" customHeight="1" s="294">
      <c r="A45" s="22" t="n">
        <v>33</v>
      </c>
      <c r="B45" s="689">
        <f>'INPUT DATA'!L43</f>
        <v/>
      </c>
      <c r="C45" s="673" t="n"/>
      <c r="D45" s="673" t="n"/>
      <c r="E45" s="690" t="n"/>
      <c r="F45" s="62" t="n"/>
      <c r="G45" s="63" t="n"/>
      <c r="H45" s="299">
        <f>'TERM 1'!AA45</f>
        <v/>
      </c>
      <c r="I45" s="63" t="n"/>
      <c r="J45" s="63" t="n"/>
      <c r="K45" s="63" t="n"/>
      <c r="L45" s="63" t="n"/>
      <c r="M45" s="64" t="n"/>
      <c r="N45" s="62" t="n"/>
      <c r="O45" s="63" t="n"/>
      <c r="P45" s="300">
        <f>'TERM 2'!AA45</f>
        <v/>
      </c>
      <c r="Q45" s="63" t="n"/>
      <c r="R45" s="63" t="n"/>
      <c r="S45" s="63" t="n"/>
      <c r="T45" s="63" t="n"/>
      <c r="U45" s="64" t="n"/>
      <c r="V45" s="694">
        <f>'TERM 3'!AA45</f>
        <v/>
      </c>
      <c r="W45" s="673" t="n"/>
      <c r="X45" s="673" t="n"/>
      <c r="Y45" s="690" t="n"/>
      <c r="Z45" s="574">
        <f>IFERROR((H45+P45+V45)/3, "")</f>
        <v/>
      </c>
      <c r="AA45" s="673" t="n"/>
      <c r="AB45" s="673" t="n"/>
      <c r="AC45" s="329">
        <f t="array" ref="AC45">IF(Z45="", "", _xlfn.IFS(Z45&gt;=90, "Advancing", Z45&gt;=80, "Benchmarking", Z45&gt;=75, "Connecting", Z45&gt;=65, "Developing", Z45&gt;=0, "Emerging"))</f>
        <v/>
      </c>
      <c r="AD45" s="302" t="n"/>
      <c r="AE45" s="292" t="n"/>
      <c r="AF45" s="291" t="n"/>
      <c r="AG45" s="291" t="n"/>
      <c r="AH45" s="291" t="n"/>
      <c r="AI45" s="293" t="n"/>
      <c r="AK45" s="292" t="n"/>
      <c r="AM45" s="296" t="n"/>
    </row>
    <row r="46" ht="18" customFormat="1" customHeight="1" s="294">
      <c r="A46" s="22" t="n">
        <v>34</v>
      </c>
      <c r="B46" s="689">
        <f>'INPUT DATA'!L44</f>
        <v/>
      </c>
      <c r="C46" s="673" t="n"/>
      <c r="D46" s="673" t="n"/>
      <c r="E46" s="690" t="n"/>
      <c r="F46" s="62" t="n"/>
      <c r="G46" s="63" t="n"/>
      <c r="H46" s="299">
        <f>'TERM 1'!AA46</f>
        <v/>
      </c>
      <c r="I46" s="63" t="n"/>
      <c r="J46" s="63" t="n"/>
      <c r="K46" s="63" t="n"/>
      <c r="L46" s="63" t="n"/>
      <c r="M46" s="64" t="n"/>
      <c r="N46" s="62" t="n"/>
      <c r="O46" s="63" t="n"/>
      <c r="P46" s="300">
        <f>'TERM 2'!AA46</f>
        <v/>
      </c>
      <c r="Q46" s="63" t="n"/>
      <c r="R46" s="63" t="n"/>
      <c r="S46" s="63" t="n"/>
      <c r="T46" s="63" t="n"/>
      <c r="U46" s="64" t="n"/>
      <c r="V46" s="694">
        <f>'TERM 3'!AA46</f>
        <v/>
      </c>
      <c r="W46" s="673" t="n"/>
      <c r="X46" s="673" t="n"/>
      <c r="Y46" s="690" t="n"/>
      <c r="Z46" s="574">
        <f>IFERROR((H46+P46+V46)/3, "")</f>
        <v/>
      </c>
      <c r="AA46" s="673" t="n"/>
      <c r="AB46" s="673" t="n"/>
      <c r="AC46" s="329">
        <f t="array" ref="AC46">IF(Z46="", "", _xlfn.IFS(Z46&gt;=90, "Advancing", Z46&gt;=80, "Benchmarking", Z46&gt;=75, "Connecting", Z46&gt;=65, "Developing", Z46&gt;=0, "Emerging"))</f>
        <v/>
      </c>
      <c r="AD46" s="302" t="n"/>
      <c r="AE46" s="292" t="n"/>
      <c r="AF46" s="291" t="n"/>
      <c r="AG46" s="291" t="n"/>
      <c r="AH46" s="291" t="n"/>
      <c r="AI46" s="293" t="n"/>
      <c r="AK46" s="292" t="n"/>
      <c r="AM46" s="296" t="n"/>
    </row>
    <row r="47" ht="18" customFormat="1" customHeight="1" s="294">
      <c r="A47" s="22" t="n">
        <v>35</v>
      </c>
      <c r="B47" s="689">
        <f>'INPUT DATA'!L45</f>
        <v/>
      </c>
      <c r="C47" s="673" t="n"/>
      <c r="D47" s="673" t="n"/>
      <c r="E47" s="690" t="n"/>
      <c r="F47" s="62" t="n"/>
      <c r="G47" s="63" t="n"/>
      <c r="H47" s="299">
        <f>'TERM 1'!AA47</f>
        <v/>
      </c>
      <c r="I47" s="63" t="n"/>
      <c r="J47" s="63" t="n"/>
      <c r="K47" s="63" t="n"/>
      <c r="L47" s="63" t="n"/>
      <c r="M47" s="64" t="n"/>
      <c r="N47" s="62" t="n"/>
      <c r="O47" s="63" t="n"/>
      <c r="P47" s="300">
        <f>'TERM 2'!AA47</f>
        <v/>
      </c>
      <c r="Q47" s="63" t="n"/>
      <c r="R47" s="63" t="n"/>
      <c r="S47" s="63" t="n"/>
      <c r="T47" s="63" t="n"/>
      <c r="U47" s="64" t="n"/>
      <c r="V47" s="694">
        <f>'TERM 3'!AA47</f>
        <v/>
      </c>
      <c r="W47" s="673" t="n"/>
      <c r="X47" s="673" t="n"/>
      <c r="Y47" s="690" t="n"/>
      <c r="Z47" s="574">
        <f>IFERROR((H47+P47+V47)/3, "")</f>
        <v/>
      </c>
      <c r="AA47" s="673" t="n"/>
      <c r="AB47" s="673" t="n"/>
      <c r="AC47" s="329">
        <f t="array" ref="AC47">IF(Z47="", "", _xlfn.IFS(Z47&gt;=90, "Advancing", Z47&gt;=80, "Benchmarking", Z47&gt;=75, "Connecting", Z47&gt;=65, "Developing", Z47&gt;=0, "Emerging"))</f>
        <v/>
      </c>
      <c r="AD47" s="302" t="n"/>
      <c r="AE47" s="292" t="n"/>
      <c r="AF47" s="291" t="n"/>
      <c r="AG47" s="291" t="n"/>
      <c r="AH47" s="291" t="n"/>
      <c r="AI47" s="293" t="n"/>
      <c r="AK47" s="292" t="n"/>
      <c r="AM47" s="296" t="n"/>
    </row>
    <row r="48" ht="18" customFormat="1" customHeight="1" s="294">
      <c r="A48" s="22" t="n">
        <v>36</v>
      </c>
      <c r="B48" s="689">
        <f>'INPUT DATA'!L46</f>
        <v/>
      </c>
      <c r="C48" s="673" t="n"/>
      <c r="D48" s="673" t="n"/>
      <c r="E48" s="690" t="n"/>
      <c r="F48" s="62" t="n"/>
      <c r="G48" s="63" t="n"/>
      <c r="H48" s="299">
        <f>'TERM 1'!AA48</f>
        <v/>
      </c>
      <c r="I48" s="63" t="n"/>
      <c r="J48" s="63" t="n"/>
      <c r="K48" s="63" t="n"/>
      <c r="L48" s="63" t="n"/>
      <c r="M48" s="64" t="n"/>
      <c r="N48" s="62" t="n"/>
      <c r="O48" s="63" t="n"/>
      <c r="P48" s="300">
        <f>'TERM 2'!AA48</f>
        <v/>
      </c>
      <c r="Q48" s="63" t="n"/>
      <c r="R48" s="63" t="n"/>
      <c r="S48" s="63" t="n"/>
      <c r="T48" s="63" t="n"/>
      <c r="U48" s="64" t="n"/>
      <c r="V48" s="694">
        <f>'TERM 3'!AA48</f>
        <v/>
      </c>
      <c r="W48" s="673" t="n"/>
      <c r="X48" s="673" t="n"/>
      <c r="Y48" s="690" t="n"/>
      <c r="Z48" s="574">
        <f>IFERROR((H48+P48+V48)/3, "")</f>
        <v/>
      </c>
      <c r="AA48" s="673" t="n"/>
      <c r="AB48" s="673" t="n"/>
      <c r="AC48" s="329">
        <f t="array" ref="AC48">IF(Z48="", "", _xlfn.IFS(Z48&gt;=90, "Advancing", Z48&gt;=80, "Benchmarking", Z48&gt;=75, "Connecting", Z48&gt;=65, "Developing", Z48&gt;=0, "Emerging"))</f>
        <v/>
      </c>
      <c r="AD48" s="302" t="n"/>
      <c r="AE48" s="292" t="n"/>
      <c r="AF48" s="291" t="n"/>
      <c r="AG48" s="291" t="n"/>
      <c r="AH48" s="291" t="n"/>
      <c r="AI48" s="293" t="n"/>
      <c r="AK48" s="292" t="n"/>
      <c r="AM48" s="296" t="n"/>
    </row>
    <row r="49" ht="18" customFormat="1" customHeight="1" s="294">
      <c r="A49" s="22" t="n">
        <v>37</v>
      </c>
      <c r="B49" s="689">
        <f>'INPUT DATA'!L47</f>
        <v/>
      </c>
      <c r="C49" s="673" t="n"/>
      <c r="D49" s="673" t="n"/>
      <c r="E49" s="690" t="n"/>
      <c r="F49" s="62" t="n"/>
      <c r="G49" s="63" t="n"/>
      <c r="H49" s="299">
        <f>'TERM 1'!AA49</f>
        <v/>
      </c>
      <c r="I49" s="63" t="n"/>
      <c r="J49" s="63" t="n"/>
      <c r="K49" s="63" t="n"/>
      <c r="L49" s="63" t="n"/>
      <c r="M49" s="64" t="n"/>
      <c r="N49" s="62" t="n"/>
      <c r="O49" s="63" t="n"/>
      <c r="P49" s="300">
        <f>'TERM 2'!AA49</f>
        <v/>
      </c>
      <c r="Q49" s="63" t="n"/>
      <c r="R49" s="63" t="n"/>
      <c r="S49" s="63" t="n"/>
      <c r="T49" s="63" t="n"/>
      <c r="U49" s="64" t="n"/>
      <c r="V49" s="694">
        <f>'TERM 3'!AA49</f>
        <v/>
      </c>
      <c r="W49" s="673" t="n"/>
      <c r="X49" s="673" t="n"/>
      <c r="Y49" s="690" t="n"/>
      <c r="Z49" s="574">
        <f>IFERROR((H49+P49+V49)/3, "")</f>
        <v/>
      </c>
      <c r="AA49" s="673" t="n"/>
      <c r="AB49" s="673" t="n"/>
      <c r="AC49" s="329">
        <f t="array" ref="AC49">IF(Z49="", "", _xlfn.IFS(Z49&gt;=90, "Advancing", Z49&gt;=80, "Benchmarking", Z49&gt;=75, "Connecting", Z49&gt;=65, "Developing", Z49&gt;=0, "Emerging"))</f>
        <v/>
      </c>
      <c r="AD49" s="302" t="n"/>
      <c r="AE49" s="292" t="n"/>
      <c r="AF49" s="291" t="n"/>
      <c r="AG49" s="291" t="n"/>
      <c r="AH49" s="291" t="n"/>
      <c r="AI49" s="293" t="n"/>
      <c r="AK49" s="292" t="n"/>
      <c r="AM49" s="296" t="n"/>
    </row>
    <row r="50" ht="18" customFormat="1" customHeight="1" s="294">
      <c r="A50" s="22" t="n">
        <v>38</v>
      </c>
      <c r="B50" s="689">
        <f>'INPUT DATA'!L48</f>
        <v/>
      </c>
      <c r="C50" s="673" t="n"/>
      <c r="D50" s="673" t="n"/>
      <c r="E50" s="690" t="n"/>
      <c r="F50" s="62" t="n"/>
      <c r="G50" s="63" t="n"/>
      <c r="H50" s="299">
        <f>'TERM 1'!AA50</f>
        <v/>
      </c>
      <c r="I50" s="63" t="n"/>
      <c r="J50" s="63" t="n"/>
      <c r="K50" s="63" t="n"/>
      <c r="L50" s="63" t="n"/>
      <c r="M50" s="64" t="n"/>
      <c r="N50" s="62" t="n"/>
      <c r="O50" s="63" t="n"/>
      <c r="P50" s="300">
        <f>'TERM 2'!AA50</f>
        <v/>
      </c>
      <c r="Q50" s="63" t="n"/>
      <c r="R50" s="63" t="n"/>
      <c r="S50" s="63" t="n"/>
      <c r="T50" s="63" t="n"/>
      <c r="U50" s="64" t="n"/>
      <c r="V50" s="694">
        <f>'TERM 3'!AA50</f>
        <v/>
      </c>
      <c r="W50" s="673" t="n"/>
      <c r="X50" s="673" t="n"/>
      <c r="Y50" s="690" t="n"/>
      <c r="Z50" s="574">
        <f>IFERROR((H50+P50+V50)/3, "")</f>
        <v/>
      </c>
      <c r="AA50" s="673" t="n"/>
      <c r="AB50" s="673" t="n"/>
      <c r="AC50" s="329">
        <f t="array" ref="AC50">IF(Z50="", "", _xlfn.IFS(Z50&gt;=90, "Advancing", Z50&gt;=80, "Benchmarking", Z50&gt;=75, "Connecting", Z50&gt;=65, "Developing", Z50&gt;=0, "Emerging"))</f>
        <v/>
      </c>
      <c r="AD50" s="302" t="n"/>
      <c r="AE50" s="292" t="n"/>
      <c r="AF50" s="291" t="n"/>
      <c r="AG50" s="291" t="n"/>
      <c r="AH50" s="291" t="n"/>
      <c r="AI50" s="293" t="n"/>
      <c r="AK50" s="292" t="n"/>
      <c r="AM50" s="296" t="n"/>
    </row>
    <row r="51" ht="18" customFormat="1" customHeight="1" s="294">
      <c r="A51" s="22" t="n">
        <v>39</v>
      </c>
      <c r="B51" s="689">
        <f>'INPUT DATA'!L49</f>
        <v/>
      </c>
      <c r="C51" s="673" t="n"/>
      <c r="D51" s="673" t="n"/>
      <c r="E51" s="690" t="n"/>
      <c r="F51" s="62" t="n"/>
      <c r="G51" s="63" t="n"/>
      <c r="H51" s="299">
        <f>'TERM 1'!AA51</f>
        <v/>
      </c>
      <c r="I51" s="63" t="n"/>
      <c r="J51" s="63" t="n"/>
      <c r="K51" s="63" t="n"/>
      <c r="L51" s="63" t="n"/>
      <c r="M51" s="64" t="n"/>
      <c r="N51" s="62" t="n"/>
      <c r="O51" s="63" t="n"/>
      <c r="P51" s="300">
        <f>'TERM 2'!AA51</f>
        <v/>
      </c>
      <c r="Q51" s="63" t="n"/>
      <c r="R51" s="63" t="n"/>
      <c r="S51" s="63" t="n"/>
      <c r="T51" s="63" t="n"/>
      <c r="U51" s="64" t="n"/>
      <c r="V51" s="694">
        <f>'TERM 3'!AA51</f>
        <v/>
      </c>
      <c r="W51" s="673" t="n"/>
      <c r="X51" s="673" t="n"/>
      <c r="Y51" s="690" t="n"/>
      <c r="Z51" s="574">
        <f>IFERROR((H51+P51+V51)/3, "")</f>
        <v/>
      </c>
      <c r="AA51" s="673" t="n"/>
      <c r="AB51" s="673" t="n"/>
      <c r="AC51" s="329">
        <f t="array" ref="AC51">IF(Z51="", "", _xlfn.IFS(Z51&gt;=90, "Advancing", Z51&gt;=80, "Benchmarking", Z51&gt;=75, "Connecting", Z51&gt;=65, "Developing", Z51&gt;=0, "Emerging"))</f>
        <v/>
      </c>
      <c r="AD51" s="302" t="n"/>
      <c r="AE51" s="292" t="n"/>
      <c r="AF51" s="291" t="n"/>
      <c r="AG51" s="291" t="n"/>
      <c r="AH51" s="291" t="n"/>
      <c r="AI51" s="293" t="n"/>
      <c r="AK51" s="292" t="n"/>
      <c r="AM51" s="296" t="n"/>
    </row>
    <row r="52" ht="18" customFormat="1" customHeight="1" s="294">
      <c r="A52" s="22" t="n">
        <v>40</v>
      </c>
      <c r="B52" s="689">
        <f>'INPUT DATA'!L50</f>
        <v/>
      </c>
      <c r="C52" s="673" t="n"/>
      <c r="D52" s="673" t="n"/>
      <c r="E52" s="690" t="n"/>
      <c r="F52" s="62" t="n"/>
      <c r="G52" s="63" t="n"/>
      <c r="H52" s="299">
        <f>'TERM 1'!AA52</f>
        <v/>
      </c>
      <c r="I52" s="63" t="n"/>
      <c r="J52" s="63" t="n"/>
      <c r="K52" s="63" t="n"/>
      <c r="L52" s="63" t="n"/>
      <c r="M52" s="64" t="n"/>
      <c r="N52" s="62" t="n"/>
      <c r="O52" s="63" t="n"/>
      <c r="P52" s="300">
        <f>'TERM 2'!AA52</f>
        <v/>
      </c>
      <c r="Q52" s="63" t="n"/>
      <c r="R52" s="63" t="n"/>
      <c r="S52" s="63" t="n"/>
      <c r="T52" s="63" t="n"/>
      <c r="U52" s="64" t="n"/>
      <c r="V52" s="694">
        <f>'TERM 3'!AA52</f>
        <v/>
      </c>
      <c r="W52" s="673" t="n"/>
      <c r="X52" s="673" t="n"/>
      <c r="Y52" s="690" t="n"/>
      <c r="Z52" s="574">
        <f>IFERROR((H52+P52+V52)/3, "")</f>
        <v/>
      </c>
      <c r="AA52" s="673" t="n"/>
      <c r="AB52" s="673" t="n"/>
      <c r="AC52" s="329">
        <f t="array" ref="AC52">IF(Z52="", "", _xlfn.IFS(Z52&gt;=90, "Advancing", Z52&gt;=80, "Benchmarking", Z52&gt;=75, "Connecting", Z52&gt;=65, "Developing", Z52&gt;=0, "Emerging"))</f>
        <v/>
      </c>
      <c r="AD52" s="302" t="n"/>
      <c r="AE52" s="292" t="n"/>
      <c r="AF52" s="291" t="n"/>
      <c r="AG52" s="291" t="n"/>
      <c r="AH52" s="291" t="n"/>
      <c r="AI52" s="293" t="n"/>
      <c r="AK52" s="292" t="n"/>
      <c r="AM52" s="296" t="n"/>
    </row>
    <row r="53" ht="18" customFormat="1" customHeight="1" s="294">
      <c r="A53" s="22" t="n">
        <v>41</v>
      </c>
      <c r="B53" s="689">
        <f>'INPUT DATA'!L51</f>
        <v/>
      </c>
      <c r="C53" s="673" t="n"/>
      <c r="D53" s="673" t="n"/>
      <c r="E53" s="690" t="n"/>
      <c r="F53" s="62" t="n"/>
      <c r="G53" s="63" t="n"/>
      <c r="H53" s="299">
        <f>'TERM 1'!AA53</f>
        <v/>
      </c>
      <c r="I53" s="63" t="n"/>
      <c r="J53" s="63" t="n"/>
      <c r="K53" s="63" t="n"/>
      <c r="L53" s="63" t="n"/>
      <c r="M53" s="64" t="n"/>
      <c r="N53" s="62" t="n"/>
      <c r="O53" s="63" t="n"/>
      <c r="P53" s="300">
        <f>'TERM 2'!AA53</f>
        <v/>
      </c>
      <c r="Q53" s="63" t="n"/>
      <c r="R53" s="63" t="n"/>
      <c r="S53" s="63" t="n"/>
      <c r="T53" s="63" t="n"/>
      <c r="U53" s="64" t="n"/>
      <c r="V53" s="694">
        <f>'TERM 3'!AA53</f>
        <v/>
      </c>
      <c r="W53" s="673" t="n"/>
      <c r="X53" s="673" t="n"/>
      <c r="Y53" s="690" t="n"/>
      <c r="Z53" s="574">
        <f>IFERROR((H53+P53+V53)/3, "")</f>
        <v/>
      </c>
      <c r="AA53" s="673" t="n"/>
      <c r="AB53" s="673" t="n"/>
      <c r="AC53" s="329">
        <f t="array" ref="AC53">IF(Z53="", "", _xlfn.IFS(Z53&gt;=90, "Advancing", Z53&gt;=80, "Benchmarking", Z53&gt;=75, "Connecting", Z53&gt;=65, "Developing", Z53&gt;=0, "Emerging"))</f>
        <v/>
      </c>
      <c r="AD53" s="302" t="n"/>
      <c r="AE53" s="292" t="n"/>
      <c r="AF53" s="291" t="n"/>
      <c r="AG53" s="291" t="n"/>
      <c r="AH53" s="291" t="n"/>
      <c r="AI53" s="293" t="n"/>
      <c r="AK53" s="292" t="n"/>
      <c r="AM53" s="296" t="n"/>
    </row>
    <row r="54" ht="18" customFormat="1" customHeight="1" s="294">
      <c r="A54" s="22" t="n">
        <v>42</v>
      </c>
      <c r="B54" s="689">
        <f>'INPUT DATA'!L52</f>
        <v/>
      </c>
      <c r="C54" s="673" t="n"/>
      <c r="D54" s="673" t="n"/>
      <c r="E54" s="690" t="n"/>
      <c r="F54" s="62" t="n"/>
      <c r="G54" s="63" t="n"/>
      <c r="H54" s="299">
        <f>'TERM 1'!AA54</f>
        <v/>
      </c>
      <c r="I54" s="63" t="n"/>
      <c r="J54" s="63" t="n"/>
      <c r="K54" s="63" t="n"/>
      <c r="L54" s="63" t="n"/>
      <c r="M54" s="64" t="n"/>
      <c r="N54" s="62" t="n"/>
      <c r="O54" s="63" t="n"/>
      <c r="P54" s="300">
        <f>'TERM 2'!AA54</f>
        <v/>
      </c>
      <c r="Q54" s="63" t="n"/>
      <c r="R54" s="63" t="n"/>
      <c r="S54" s="63" t="n"/>
      <c r="T54" s="63" t="n"/>
      <c r="U54" s="64" t="n"/>
      <c r="V54" s="694">
        <f>'TERM 3'!AA54</f>
        <v/>
      </c>
      <c r="W54" s="673" t="n"/>
      <c r="X54" s="673" t="n"/>
      <c r="Y54" s="690" t="n"/>
      <c r="Z54" s="574">
        <f>IFERROR((H54+P54+V54)/3, "")</f>
        <v/>
      </c>
      <c r="AA54" s="673" t="n"/>
      <c r="AB54" s="673" t="n"/>
      <c r="AC54" s="329">
        <f t="array" ref="AC54">IF(Z54="", "", _xlfn.IFS(Z54&gt;=90, "Advancing", Z54&gt;=80, "Benchmarking", Z54&gt;=75, "Connecting", Z54&gt;=65, "Developing", Z54&gt;=0, "Emerging"))</f>
        <v/>
      </c>
      <c r="AD54" s="302" t="n"/>
      <c r="AE54" s="292" t="n"/>
      <c r="AF54" s="291" t="n"/>
      <c r="AG54" s="291" t="n"/>
      <c r="AH54" s="291" t="n"/>
      <c r="AI54" s="293" t="n"/>
      <c r="AK54" s="292" t="n"/>
      <c r="AM54" s="296" t="n"/>
    </row>
    <row r="55" ht="18" customFormat="1" customHeight="1" s="294">
      <c r="A55" s="22" t="n">
        <v>43</v>
      </c>
      <c r="B55" s="689">
        <f>'INPUT DATA'!L53</f>
        <v/>
      </c>
      <c r="C55" s="673" t="n"/>
      <c r="D55" s="673" t="n"/>
      <c r="E55" s="690" t="n"/>
      <c r="F55" s="62" t="n"/>
      <c r="G55" s="63" t="n"/>
      <c r="H55" s="299">
        <f>'TERM 1'!AA55</f>
        <v/>
      </c>
      <c r="I55" s="63" t="n"/>
      <c r="J55" s="63" t="n"/>
      <c r="K55" s="63" t="n"/>
      <c r="L55" s="63" t="n"/>
      <c r="M55" s="64" t="n"/>
      <c r="N55" s="62" t="n"/>
      <c r="O55" s="63" t="n"/>
      <c r="P55" s="300">
        <f>'TERM 2'!AA55</f>
        <v/>
      </c>
      <c r="Q55" s="63" t="n"/>
      <c r="R55" s="63" t="n"/>
      <c r="S55" s="63" t="n"/>
      <c r="T55" s="63" t="n"/>
      <c r="U55" s="64" t="n"/>
      <c r="V55" s="694">
        <f>'TERM 3'!AA55</f>
        <v/>
      </c>
      <c r="W55" s="673" t="n"/>
      <c r="X55" s="673" t="n"/>
      <c r="Y55" s="690" t="n"/>
      <c r="Z55" s="574">
        <f>IFERROR((H55+P55+V55)/3, "")</f>
        <v/>
      </c>
      <c r="AA55" s="673" t="n"/>
      <c r="AB55" s="673" t="n"/>
      <c r="AC55" s="329">
        <f t="array" ref="AC55">IF(Z55="", "", _xlfn.IFS(Z55&gt;=90, "Advancing", Z55&gt;=80, "Benchmarking", Z55&gt;=75, "Connecting", Z55&gt;=65, "Developing", Z55&gt;=0, "Emerging"))</f>
        <v/>
      </c>
      <c r="AD55" s="302" t="n"/>
      <c r="AE55" s="292" t="n"/>
      <c r="AF55" s="291" t="n"/>
      <c r="AG55" s="291" t="n"/>
      <c r="AH55" s="291" t="n"/>
      <c r="AI55" s="293" t="n"/>
      <c r="AK55" s="292" t="n"/>
      <c r="AM55" s="296" t="n"/>
    </row>
    <row r="56" ht="18" customFormat="1" customHeight="1" s="294">
      <c r="A56" s="22" t="n">
        <v>44</v>
      </c>
      <c r="B56" s="689">
        <f>'INPUT DATA'!L54</f>
        <v/>
      </c>
      <c r="C56" s="673" t="n"/>
      <c r="D56" s="673" t="n"/>
      <c r="E56" s="690" t="n"/>
      <c r="F56" s="62" t="n"/>
      <c r="G56" s="63" t="n"/>
      <c r="H56" s="299">
        <f>'TERM 1'!AA56</f>
        <v/>
      </c>
      <c r="I56" s="63" t="n"/>
      <c r="J56" s="63" t="n"/>
      <c r="K56" s="63" t="n"/>
      <c r="L56" s="63" t="n"/>
      <c r="M56" s="64" t="n"/>
      <c r="N56" s="62" t="n"/>
      <c r="O56" s="63" t="n"/>
      <c r="P56" s="300">
        <f>'TERM 2'!AA56</f>
        <v/>
      </c>
      <c r="Q56" s="63" t="n"/>
      <c r="R56" s="63" t="n"/>
      <c r="S56" s="63" t="n"/>
      <c r="T56" s="63" t="n"/>
      <c r="U56" s="64" t="n"/>
      <c r="V56" s="694">
        <f>'TERM 3'!AA56</f>
        <v/>
      </c>
      <c r="W56" s="673" t="n"/>
      <c r="X56" s="673" t="n"/>
      <c r="Y56" s="690" t="n"/>
      <c r="Z56" s="574">
        <f>IFERROR((H56+P56+V56)/3, "")</f>
        <v/>
      </c>
      <c r="AA56" s="673" t="n"/>
      <c r="AB56" s="673" t="n"/>
      <c r="AC56" s="329">
        <f t="array" ref="AC56">IF(Z56="", "", _xlfn.IFS(Z56&gt;=90, "Advancing", Z56&gt;=80, "Benchmarking", Z56&gt;=75, "Connecting", Z56&gt;=65, "Developing", Z56&gt;=0, "Emerging"))</f>
        <v/>
      </c>
      <c r="AD56" s="302" t="n"/>
      <c r="AE56" s="292" t="n"/>
      <c r="AF56" s="291" t="n"/>
      <c r="AG56" s="291" t="n"/>
      <c r="AH56" s="291" t="n"/>
      <c r="AI56" s="293" t="n"/>
      <c r="AK56" s="292" t="n"/>
      <c r="AM56" s="296" t="n"/>
    </row>
    <row r="57" ht="18" customFormat="1" customHeight="1" s="294">
      <c r="A57" s="22" t="n">
        <v>45</v>
      </c>
      <c r="B57" s="689">
        <f>'INPUT DATA'!L55</f>
        <v/>
      </c>
      <c r="C57" s="673" t="n"/>
      <c r="D57" s="673" t="n"/>
      <c r="E57" s="690" t="n"/>
      <c r="F57" s="62" t="n"/>
      <c r="G57" s="63" t="n"/>
      <c r="H57" s="299">
        <f>'TERM 1'!AA57</f>
        <v/>
      </c>
      <c r="I57" s="63" t="n"/>
      <c r="J57" s="63" t="n"/>
      <c r="K57" s="63" t="n"/>
      <c r="L57" s="63" t="n"/>
      <c r="M57" s="64" t="n"/>
      <c r="N57" s="62" t="n"/>
      <c r="O57" s="63" t="n"/>
      <c r="P57" s="300">
        <f>'TERM 2'!AA57</f>
        <v/>
      </c>
      <c r="Q57" s="63" t="n"/>
      <c r="R57" s="63" t="n"/>
      <c r="S57" s="63" t="n"/>
      <c r="T57" s="63" t="n"/>
      <c r="U57" s="64" t="n"/>
      <c r="V57" s="694">
        <f>'TERM 3'!AA57</f>
        <v/>
      </c>
      <c r="W57" s="673" t="n"/>
      <c r="X57" s="673" t="n"/>
      <c r="Y57" s="690" t="n"/>
      <c r="Z57" s="574">
        <f>IFERROR((H57+P57+V57)/3, "")</f>
        <v/>
      </c>
      <c r="AA57" s="673" t="n"/>
      <c r="AB57" s="673" t="n"/>
      <c r="AC57" s="329">
        <f t="array" ref="AC57">IF(Z57="", "", _xlfn.IFS(Z57&gt;=90, "Advancing", Z57&gt;=80, "Benchmarking", Z57&gt;=75, "Connecting", Z57&gt;=65, "Developing", Z57&gt;=0, "Emerging"))</f>
        <v/>
      </c>
      <c r="AD57" s="302" t="n"/>
      <c r="AE57" s="292" t="n"/>
      <c r="AF57" s="291" t="n"/>
      <c r="AG57" s="291" t="n"/>
      <c r="AH57" s="291" t="n"/>
      <c r="AI57" s="293" t="n"/>
      <c r="AK57" s="292" t="n"/>
      <c r="AM57" s="296" t="n"/>
    </row>
    <row r="58" ht="18" customFormat="1" customHeight="1" s="294">
      <c r="A58" s="22" t="n">
        <v>46</v>
      </c>
      <c r="B58" s="689">
        <f>'INPUT DATA'!L56</f>
        <v/>
      </c>
      <c r="C58" s="673" t="n"/>
      <c r="D58" s="673" t="n"/>
      <c r="E58" s="690" t="n"/>
      <c r="F58" s="62" t="n"/>
      <c r="G58" s="63" t="n"/>
      <c r="H58" s="299">
        <f>'TERM 1'!AA58</f>
        <v/>
      </c>
      <c r="I58" s="63" t="n"/>
      <c r="J58" s="63" t="n"/>
      <c r="K58" s="63" t="n"/>
      <c r="L58" s="63" t="n"/>
      <c r="M58" s="64" t="n"/>
      <c r="N58" s="62" t="n"/>
      <c r="O58" s="63" t="n"/>
      <c r="P58" s="300">
        <f>'TERM 2'!AA58</f>
        <v/>
      </c>
      <c r="Q58" s="63" t="n"/>
      <c r="R58" s="63" t="n"/>
      <c r="S58" s="63" t="n"/>
      <c r="T58" s="63" t="n"/>
      <c r="U58" s="64" t="n"/>
      <c r="V58" s="694">
        <f>'TERM 3'!AA58</f>
        <v/>
      </c>
      <c r="W58" s="673" t="n"/>
      <c r="X58" s="673" t="n"/>
      <c r="Y58" s="690" t="n"/>
      <c r="Z58" s="574">
        <f>IFERROR((H58+P58+V58)/3, "")</f>
        <v/>
      </c>
      <c r="AA58" s="673" t="n"/>
      <c r="AB58" s="673" t="n"/>
      <c r="AC58" s="329">
        <f t="array" ref="AC58">IF(Z58="", "", _xlfn.IFS(Z58&gt;=90, "Advancing", Z58&gt;=80, "Benchmarking", Z58&gt;=75, "Connecting", Z58&gt;=65, "Developing", Z58&gt;=0, "Emerging"))</f>
        <v/>
      </c>
      <c r="AD58" s="302" t="n"/>
      <c r="AE58" s="292" t="n"/>
      <c r="AF58" s="291" t="n"/>
      <c r="AG58" s="291" t="n"/>
      <c r="AH58" s="291" t="n"/>
      <c r="AI58" s="293" t="n"/>
      <c r="AK58" s="292" t="n"/>
      <c r="AM58" s="296" t="n"/>
    </row>
    <row r="59" ht="18" customFormat="1" customHeight="1" s="294">
      <c r="A59" s="22" t="n">
        <v>47</v>
      </c>
      <c r="B59" s="689">
        <f>'INPUT DATA'!L57</f>
        <v/>
      </c>
      <c r="C59" s="673" t="n"/>
      <c r="D59" s="673" t="n"/>
      <c r="E59" s="690" t="n"/>
      <c r="F59" s="62" t="n"/>
      <c r="G59" s="63" t="n"/>
      <c r="H59" s="299">
        <f>'TERM 1'!AA59</f>
        <v/>
      </c>
      <c r="I59" s="63" t="n"/>
      <c r="J59" s="63" t="n"/>
      <c r="K59" s="63" t="n"/>
      <c r="L59" s="63" t="n"/>
      <c r="M59" s="64" t="n"/>
      <c r="N59" s="62" t="n"/>
      <c r="O59" s="63" t="n"/>
      <c r="P59" s="300">
        <f>'TERM 2'!AA59</f>
        <v/>
      </c>
      <c r="Q59" s="63" t="n"/>
      <c r="R59" s="63" t="n"/>
      <c r="S59" s="63" t="n"/>
      <c r="T59" s="63" t="n"/>
      <c r="U59" s="64" t="n"/>
      <c r="V59" s="694">
        <f>'TERM 3'!AA59</f>
        <v/>
      </c>
      <c r="W59" s="673" t="n"/>
      <c r="X59" s="673" t="n"/>
      <c r="Y59" s="690" t="n"/>
      <c r="Z59" s="574">
        <f>IFERROR((H59+P59+V59)/3, "")</f>
        <v/>
      </c>
      <c r="AA59" s="673" t="n"/>
      <c r="AB59" s="673" t="n"/>
      <c r="AC59" s="329">
        <f t="array" ref="AC59">IF(Z59="", "", _xlfn.IFS(Z59&gt;=90, "Advancing", Z59&gt;=80, "Benchmarking", Z59&gt;=75, "Connecting", Z59&gt;=65, "Developing", Z59&gt;=0, "Emerging"))</f>
        <v/>
      </c>
      <c r="AD59" s="302" t="n"/>
      <c r="AE59" s="292" t="n"/>
      <c r="AF59" s="291" t="n"/>
      <c r="AG59" s="291" t="n"/>
      <c r="AH59" s="291" t="n"/>
      <c r="AI59" s="293" t="n"/>
      <c r="AK59" s="292" t="n"/>
      <c r="AM59" s="296" t="n"/>
    </row>
    <row r="60" ht="18" customFormat="1" customHeight="1" s="294">
      <c r="A60" s="22" t="n">
        <v>48</v>
      </c>
      <c r="B60" s="689">
        <f>'INPUT DATA'!L58</f>
        <v/>
      </c>
      <c r="C60" s="673" t="n"/>
      <c r="D60" s="673" t="n"/>
      <c r="E60" s="690" t="n"/>
      <c r="F60" s="62" t="n"/>
      <c r="G60" s="63" t="n"/>
      <c r="H60" s="299">
        <f>'TERM 1'!AA60</f>
        <v/>
      </c>
      <c r="I60" s="63" t="n"/>
      <c r="J60" s="63" t="n"/>
      <c r="K60" s="63" t="n"/>
      <c r="L60" s="63" t="n"/>
      <c r="M60" s="64" t="n"/>
      <c r="N60" s="62" t="n"/>
      <c r="O60" s="63" t="n"/>
      <c r="P60" s="300">
        <f>'TERM 2'!AA60</f>
        <v/>
      </c>
      <c r="Q60" s="63" t="n"/>
      <c r="R60" s="63" t="n"/>
      <c r="S60" s="63" t="n"/>
      <c r="T60" s="63" t="n"/>
      <c r="U60" s="64" t="n"/>
      <c r="V60" s="694">
        <f>'TERM 3'!AA60</f>
        <v/>
      </c>
      <c r="W60" s="673" t="n"/>
      <c r="X60" s="673" t="n"/>
      <c r="Y60" s="690" t="n"/>
      <c r="Z60" s="574">
        <f>IFERROR((H60+P60+V60)/3, "")</f>
        <v/>
      </c>
      <c r="AA60" s="673" t="n"/>
      <c r="AB60" s="673" t="n"/>
      <c r="AC60" s="329">
        <f t="array" ref="AC60">IF(Z60="", "", _xlfn.IFS(Z60&gt;=90, "Advancing", Z60&gt;=80, "Benchmarking", Z60&gt;=75, "Connecting", Z60&gt;=65, "Developing", Z60&gt;=0, "Emerging"))</f>
        <v/>
      </c>
      <c r="AD60" s="302" t="n"/>
      <c r="AE60" s="292" t="n"/>
      <c r="AF60" s="291" t="n"/>
      <c r="AG60" s="291" t="n"/>
      <c r="AH60" s="291" t="n"/>
      <c r="AI60" s="293" t="n"/>
      <c r="AK60" s="292" t="n"/>
      <c r="AM60" s="296" t="n"/>
    </row>
    <row r="61" ht="18" customFormat="1" customHeight="1" s="294">
      <c r="A61" s="22" t="n">
        <v>49</v>
      </c>
      <c r="B61" s="689">
        <f>'INPUT DATA'!L59</f>
        <v/>
      </c>
      <c r="C61" s="673" t="n"/>
      <c r="D61" s="673" t="n"/>
      <c r="E61" s="690" t="n"/>
      <c r="F61" s="62" t="n"/>
      <c r="G61" s="63" t="n"/>
      <c r="H61" s="299">
        <f>'TERM 1'!AA61</f>
        <v/>
      </c>
      <c r="I61" s="63" t="n"/>
      <c r="J61" s="63" t="n"/>
      <c r="K61" s="63" t="n"/>
      <c r="L61" s="63" t="n"/>
      <c r="M61" s="64" t="n"/>
      <c r="N61" s="62" t="n"/>
      <c r="O61" s="63" t="n"/>
      <c r="P61" s="300">
        <f>'TERM 2'!AA61</f>
        <v/>
      </c>
      <c r="Q61" s="63" t="n"/>
      <c r="R61" s="63" t="n"/>
      <c r="S61" s="63" t="n"/>
      <c r="T61" s="63" t="n"/>
      <c r="U61" s="64" t="n"/>
      <c r="V61" s="694">
        <f>'TERM 3'!AA61</f>
        <v/>
      </c>
      <c r="W61" s="673" t="n"/>
      <c r="X61" s="673" t="n"/>
      <c r="Y61" s="690" t="n"/>
      <c r="Z61" s="574">
        <f>IFERROR((H61+P61+V61)/3, "")</f>
        <v/>
      </c>
      <c r="AA61" s="673" t="n"/>
      <c r="AB61" s="673" t="n"/>
      <c r="AC61" s="329">
        <f t="array" ref="AC61">IF(Z61="", "", _xlfn.IFS(Z61&gt;=90, "Advancing", Z61&gt;=80, "Benchmarking", Z61&gt;=75, "Connecting", Z61&gt;=65, "Developing", Z61&gt;=0, "Emerging"))</f>
        <v/>
      </c>
      <c r="AD61" s="302" t="n"/>
      <c r="AE61" s="292" t="n"/>
      <c r="AF61" s="291" t="n"/>
      <c r="AG61" s="291" t="n"/>
      <c r="AH61" s="291" t="n"/>
      <c r="AI61" s="293" t="n"/>
      <c r="AK61" s="292" t="n"/>
      <c r="AM61" s="296" t="n"/>
    </row>
    <row r="62" ht="18" customFormat="1" customHeight="1" s="294" thickBot="1">
      <c r="A62" s="23" t="n">
        <v>50</v>
      </c>
      <c r="B62" s="695">
        <f>'INPUT DATA'!L60</f>
        <v/>
      </c>
      <c r="C62" s="696" t="n"/>
      <c r="D62" s="696" t="n"/>
      <c r="E62" s="697" t="n"/>
      <c r="F62" s="303" t="n"/>
      <c r="G62" s="304" t="n"/>
      <c r="H62" s="305">
        <f>'TERM 1'!AA62</f>
        <v/>
      </c>
      <c r="I62" s="304" t="n"/>
      <c r="J62" s="304" t="n"/>
      <c r="K62" s="304" t="n"/>
      <c r="L62" s="304" t="n"/>
      <c r="M62" s="306" t="n"/>
      <c r="N62" s="303" t="n"/>
      <c r="O62" s="304" t="n"/>
      <c r="P62" s="307">
        <f>'TERM 2'!AA62</f>
        <v/>
      </c>
      <c r="Q62" s="304" t="n"/>
      <c r="R62" s="304" t="n"/>
      <c r="S62" s="304" t="n"/>
      <c r="T62" s="304" t="n"/>
      <c r="U62" s="306" t="n"/>
      <c r="V62" s="698">
        <f>'TERM 3'!AA62</f>
        <v/>
      </c>
      <c r="W62" s="696" t="n"/>
      <c r="X62" s="696" t="n"/>
      <c r="Y62" s="697" t="n"/>
      <c r="Z62" s="587">
        <f>IFERROR((H62+P62+V62)/3, "")</f>
        <v/>
      </c>
      <c r="AA62" s="696" t="n"/>
      <c r="AB62" s="696" t="n"/>
      <c r="AC62" s="333">
        <f t="array" ref="AC62">IF(Z62="", "", _xlfn.IFS(Z62&gt;=90, "Advancing", Z62&gt;=80, "Benchmarking", Z62&gt;=75, "Connecting", Z62&gt;=65, "Developing", Z62&gt;=0, "Emerging"))</f>
        <v/>
      </c>
      <c r="AD62" s="334" t="n"/>
      <c r="AE62" s="335" t="n"/>
      <c r="AF62" s="291" t="n"/>
      <c r="AG62" s="291" t="n"/>
      <c r="AH62" s="291" t="n"/>
      <c r="AI62" s="293" t="n"/>
      <c r="AK62" s="292" t="n"/>
      <c r="AM62" s="296" t="n"/>
    </row>
    <row r="63" ht="18" customFormat="1" customHeight="1" s="294" thickBot="1">
      <c r="A63" s="699" t="inlineStr">
        <is>
          <t xml:space="preserve">FEMALE </t>
        </is>
      </c>
      <c r="B63" s="650" t="n"/>
      <c r="C63" s="650" t="n"/>
      <c r="D63" s="650" t="n"/>
      <c r="E63" s="653" t="n"/>
      <c r="F63" s="700">
        <f>'TERM 1'!AA63</f>
        <v/>
      </c>
      <c r="G63" s="650" t="n"/>
      <c r="H63" s="650" t="n"/>
      <c r="I63" s="650" t="n"/>
      <c r="J63" s="650" t="n"/>
      <c r="K63" s="650" t="n"/>
      <c r="L63" s="650" t="n"/>
      <c r="M63" s="650" t="n"/>
      <c r="N63" s="650" t="n"/>
      <c r="O63" s="650" t="n"/>
      <c r="P63" s="650" t="n"/>
      <c r="Q63" s="650" t="n"/>
      <c r="R63" s="650" t="n"/>
      <c r="S63" s="650" t="n"/>
      <c r="T63" s="650" t="n"/>
      <c r="U63" s="650" t="n"/>
      <c r="V63" s="650" t="n"/>
      <c r="W63" s="650" t="n"/>
      <c r="X63" s="650" t="n"/>
      <c r="Y63" s="650" t="n"/>
      <c r="Z63" s="650" t="n"/>
      <c r="AA63" s="650" t="n"/>
      <c r="AB63" s="650" t="n"/>
      <c r="AC63" s="650" t="n"/>
      <c r="AD63" s="650" t="n"/>
      <c r="AE63" s="653" t="n"/>
      <c r="AF63" s="302" t="n"/>
      <c r="AG63" s="291" t="n"/>
      <c r="AH63" s="291" t="n"/>
      <c r="AI63" s="293" t="n"/>
      <c r="AK63" s="292" t="n"/>
      <c r="AM63" s="296" t="n"/>
    </row>
    <row r="64" ht="18" customFormat="1" customHeight="1" s="294">
      <c r="A64" s="21" t="n">
        <v>1</v>
      </c>
      <c r="B64" s="308">
        <f>'INPUT DATA'!O11</f>
        <v/>
      </c>
      <c r="C64" s="309" t="n"/>
      <c r="D64" s="309" t="n"/>
      <c r="E64" s="310" t="n"/>
      <c r="F64" s="70" t="n"/>
      <c r="G64" s="68" t="n"/>
      <c r="H64" s="311">
        <f>'TERM 1'!AA64</f>
        <v/>
      </c>
      <c r="I64" s="68" t="n"/>
      <c r="J64" s="68" t="n"/>
      <c r="K64" s="68" t="n"/>
      <c r="L64" s="68" t="n"/>
      <c r="M64" s="69" t="n"/>
      <c r="N64" s="70" t="n"/>
      <c r="O64" s="68" t="n"/>
      <c r="P64" s="312">
        <f>'TERM 2'!AA64</f>
        <v/>
      </c>
      <c r="Q64" s="68" t="n"/>
      <c r="R64" s="68" t="n"/>
      <c r="S64" s="68" t="n"/>
      <c r="T64" s="68" t="n"/>
      <c r="U64" s="69" t="n"/>
      <c r="V64" s="701">
        <f>'TERM 3'!AA64</f>
        <v/>
      </c>
      <c r="W64" s="680" t="n"/>
      <c r="X64" s="680" t="n"/>
      <c r="Y64" s="702" t="n"/>
      <c r="Z64" s="590">
        <f>IFERROR((H64+P64+V64)/3, "")</f>
        <v/>
      </c>
      <c r="AA64" s="680" t="n"/>
      <c r="AB64" s="680" t="n"/>
      <c r="AC64" s="331">
        <f t="array" ref="AC64">IF(Z64="", "", _xlfn.IFS(Z64&gt;=90, "Advancing", Z64&gt;=80, "Benchmarking", Z64&gt;=75, "Connecting", Z64&gt;=65, "Developing", Z64&gt;=0, "Emerging"))</f>
        <v/>
      </c>
      <c r="AD64" s="336" t="n"/>
      <c r="AE64" s="337" t="n"/>
      <c r="AF64" s="291" t="n"/>
      <c r="AG64" s="291" t="n"/>
      <c r="AH64" s="291" t="n"/>
      <c r="AI64" s="293" t="n"/>
      <c r="AK64" s="292" t="n"/>
      <c r="AM64" s="296" t="n"/>
    </row>
    <row r="65" ht="18" customFormat="1" customHeight="1" s="294">
      <c r="A65" s="22" t="n">
        <v>2</v>
      </c>
      <c r="B65" s="552">
        <f>'INPUT DATA'!O12</f>
        <v/>
      </c>
      <c r="C65" s="553" t="n"/>
      <c r="D65" s="553" t="n"/>
      <c r="E65" s="554" t="n"/>
      <c r="F65" s="62" t="n"/>
      <c r="G65" s="63" t="n"/>
      <c r="H65" s="299">
        <f>'TERM 1'!AA65</f>
        <v/>
      </c>
      <c r="I65" s="63" t="n"/>
      <c r="J65" s="63" t="n"/>
      <c r="K65" s="63" t="n"/>
      <c r="L65" s="63" t="n"/>
      <c r="M65" s="64" t="n"/>
      <c r="N65" s="62" t="n"/>
      <c r="O65" s="63" t="n"/>
      <c r="P65" s="300">
        <f>'TERM 2'!AA65</f>
        <v/>
      </c>
      <c r="Q65" s="63" t="n"/>
      <c r="R65" s="63" t="n"/>
      <c r="S65" s="63" t="n"/>
      <c r="T65" s="63" t="n"/>
      <c r="U65" s="64" t="n"/>
      <c r="V65" s="694">
        <f>'TERM 3'!AA65</f>
        <v/>
      </c>
      <c r="W65" s="673" t="n"/>
      <c r="X65" s="673" t="n"/>
      <c r="Y65" s="690" t="n"/>
      <c r="Z65" s="574">
        <f>IFERROR((H65+P65+V65)/3, "")</f>
        <v/>
      </c>
      <c r="AA65" s="673" t="n"/>
      <c r="AB65" s="673" t="n"/>
      <c r="AC65" s="329">
        <f t="array" ref="AC65">IF(Z65="", "", _xlfn.IFS(Z65&gt;=90, "Advancing", Z65&gt;=80, "Benchmarking", Z65&gt;=75, "Connecting", Z65&gt;=65, "Developing", Z65&gt;=0, "Emerging"))</f>
        <v/>
      </c>
      <c r="AD65" s="302" t="n"/>
      <c r="AE65" s="292" t="n"/>
      <c r="AF65" s="291" t="n"/>
      <c r="AG65" s="291" t="n"/>
      <c r="AH65" s="291" t="n"/>
      <c r="AI65" s="293" t="n"/>
      <c r="AK65" s="292" t="n"/>
      <c r="AM65" s="296" t="n"/>
    </row>
    <row r="66" ht="18" customFormat="1" customHeight="1" s="294">
      <c r="A66" s="22" t="n">
        <v>3</v>
      </c>
      <c r="B66" s="552">
        <f>'INPUT DATA'!O13</f>
        <v/>
      </c>
      <c r="C66" s="553" t="n"/>
      <c r="D66" s="553" t="n"/>
      <c r="E66" s="554" t="n"/>
      <c r="F66" s="62" t="n"/>
      <c r="G66" s="63" t="n"/>
      <c r="H66" s="299">
        <f>'TERM 1'!AA66</f>
        <v/>
      </c>
      <c r="I66" s="63" t="n"/>
      <c r="J66" s="63" t="n"/>
      <c r="K66" s="63" t="n"/>
      <c r="L66" s="63" t="n"/>
      <c r="M66" s="64" t="n"/>
      <c r="N66" s="62" t="n"/>
      <c r="O66" s="63" t="n"/>
      <c r="P66" s="300">
        <f>'TERM 2'!AA66</f>
        <v/>
      </c>
      <c r="Q66" s="63" t="n"/>
      <c r="R66" s="63" t="n"/>
      <c r="S66" s="63" t="n"/>
      <c r="T66" s="63" t="n"/>
      <c r="U66" s="64" t="n"/>
      <c r="V66" s="694">
        <f>'TERM 3'!AA66</f>
        <v/>
      </c>
      <c r="W66" s="673" t="n"/>
      <c r="X66" s="673" t="n"/>
      <c r="Y66" s="690" t="n"/>
      <c r="Z66" s="574">
        <f>IFERROR((H66+P66+V66)/3, "")</f>
        <v/>
      </c>
      <c r="AA66" s="673" t="n"/>
      <c r="AB66" s="673" t="n"/>
      <c r="AC66" s="329">
        <f t="array" ref="AC66">IF(Z66="", "", _xlfn.IFS(Z66&gt;=90, "Advancing", Z66&gt;=80, "Benchmarking", Z66&gt;=75, "Connecting", Z66&gt;=65, "Developing", Z66&gt;=0, "Emerging"))</f>
        <v/>
      </c>
      <c r="AD66" s="302" t="n"/>
      <c r="AE66" s="292" t="n"/>
      <c r="AF66" s="291" t="n"/>
      <c r="AG66" s="291" t="n"/>
      <c r="AH66" s="291" t="n"/>
      <c r="AI66" s="293" t="n"/>
      <c r="AK66" s="292" t="n"/>
      <c r="AM66" s="296" t="n"/>
    </row>
    <row r="67" ht="18" customFormat="1" customHeight="1" s="294">
      <c r="A67" s="22" t="n">
        <v>4</v>
      </c>
      <c r="B67" s="552">
        <f>'INPUT DATA'!O14</f>
        <v/>
      </c>
      <c r="C67" s="553" t="n"/>
      <c r="D67" s="553" t="n"/>
      <c r="E67" s="554" t="n"/>
      <c r="F67" s="62" t="n"/>
      <c r="G67" s="63" t="n"/>
      <c r="H67" s="299">
        <f>'TERM 1'!AA67</f>
        <v/>
      </c>
      <c r="I67" s="63" t="n"/>
      <c r="J67" s="63" t="n"/>
      <c r="K67" s="63" t="n"/>
      <c r="L67" s="63" t="n"/>
      <c r="M67" s="64" t="n"/>
      <c r="N67" s="62" t="n"/>
      <c r="O67" s="63" t="n"/>
      <c r="P67" s="300">
        <f>'TERM 2'!AA67</f>
        <v/>
      </c>
      <c r="Q67" s="63" t="n"/>
      <c r="R67" s="63" t="n"/>
      <c r="S67" s="63" t="n"/>
      <c r="T67" s="63" t="n"/>
      <c r="U67" s="64" t="n"/>
      <c r="V67" s="694">
        <f>'TERM 3'!AA67</f>
        <v/>
      </c>
      <c r="W67" s="673" t="n"/>
      <c r="X67" s="673" t="n"/>
      <c r="Y67" s="690" t="n"/>
      <c r="Z67" s="574">
        <f>IFERROR((H67+P67+V67)/3, "")</f>
        <v/>
      </c>
      <c r="AA67" s="673" t="n"/>
      <c r="AB67" s="673" t="n"/>
      <c r="AC67" s="329">
        <f t="array" ref="AC67">IF(Z67="", "", _xlfn.IFS(Z67&gt;=90, "Advancing", Z67&gt;=80, "Benchmarking", Z67&gt;=75, "Connecting", Z67&gt;=65, "Developing", Z67&gt;=0, "Emerging"))</f>
        <v/>
      </c>
      <c r="AD67" s="302" t="n"/>
      <c r="AE67" s="292" t="n"/>
      <c r="AF67" s="291" t="n"/>
      <c r="AG67" s="291" t="n"/>
      <c r="AH67" s="291" t="n"/>
      <c r="AI67" s="293" t="n"/>
      <c r="AK67" s="292" t="n"/>
      <c r="AM67" s="296" t="n"/>
    </row>
    <row r="68" ht="18" customFormat="1" customHeight="1" s="294">
      <c r="A68" s="22" t="n">
        <v>5</v>
      </c>
      <c r="B68" s="552">
        <f>'INPUT DATA'!O15</f>
        <v/>
      </c>
      <c r="C68" s="553" t="n"/>
      <c r="D68" s="553" t="n"/>
      <c r="E68" s="554" t="n"/>
      <c r="F68" s="62" t="n"/>
      <c r="G68" s="63" t="n"/>
      <c r="H68" s="299">
        <f>'TERM 1'!AA68</f>
        <v/>
      </c>
      <c r="I68" s="63" t="n"/>
      <c r="J68" s="63" t="n"/>
      <c r="K68" s="63" t="n"/>
      <c r="L68" s="63" t="n"/>
      <c r="M68" s="64" t="n"/>
      <c r="N68" s="62" t="n"/>
      <c r="O68" s="63" t="n"/>
      <c r="P68" s="300">
        <f>'TERM 2'!AA68</f>
        <v/>
      </c>
      <c r="Q68" s="63" t="n"/>
      <c r="R68" s="63" t="n"/>
      <c r="S68" s="63" t="n"/>
      <c r="T68" s="63" t="n"/>
      <c r="U68" s="64" t="n"/>
      <c r="V68" s="694">
        <f>'TERM 3'!AA68</f>
        <v/>
      </c>
      <c r="W68" s="673" t="n"/>
      <c r="X68" s="673" t="n"/>
      <c r="Y68" s="690" t="n"/>
      <c r="Z68" s="574">
        <f>IFERROR((H68+P68+V68)/3, "")</f>
        <v/>
      </c>
      <c r="AA68" s="673" t="n"/>
      <c r="AB68" s="673" t="n"/>
      <c r="AC68" s="329">
        <f t="array" ref="AC68">IF(Z68="", "", _xlfn.IFS(Z68&gt;=90, "Advancing", Z68&gt;=80, "Benchmarking", Z68&gt;=75, "Connecting", Z68&gt;=65, "Developing", Z68&gt;=0, "Emerging"))</f>
        <v/>
      </c>
      <c r="AD68" s="302" t="n"/>
      <c r="AE68" s="292" t="n"/>
      <c r="AF68" s="291" t="n"/>
      <c r="AG68" s="291" t="n"/>
      <c r="AH68" s="291" t="n"/>
      <c r="AI68" s="293" t="n"/>
      <c r="AK68" s="292" t="n"/>
      <c r="AM68" s="296" t="n"/>
    </row>
    <row r="69" ht="18" customFormat="1" customHeight="1" s="294">
      <c r="A69" s="22" t="n">
        <v>6</v>
      </c>
      <c r="B69" s="552">
        <f>'INPUT DATA'!O16</f>
        <v/>
      </c>
      <c r="C69" s="553" t="n"/>
      <c r="D69" s="553" t="n"/>
      <c r="E69" s="554" t="n"/>
      <c r="F69" s="62" t="n"/>
      <c r="G69" s="63" t="n"/>
      <c r="H69" s="299">
        <f>'TERM 1'!AA69</f>
        <v/>
      </c>
      <c r="I69" s="63" t="n"/>
      <c r="J69" s="63" t="n"/>
      <c r="K69" s="63" t="n"/>
      <c r="L69" s="63" t="n"/>
      <c r="M69" s="64" t="n"/>
      <c r="N69" s="62" t="n"/>
      <c r="O69" s="63" t="n"/>
      <c r="P69" s="300">
        <f>'TERM 2'!AA69</f>
        <v/>
      </c>
      <c r="Q69" s="63" t="n"/>
      <c r="R69" s="63" t="n"/>
      <c r="S69" s="63" t="n"/>
      <c r="T69" s="63" t="n"/>
      <c r="U69" s="64" t="n"/>
      <c r="V69" s="694">
        <f>'TERM 3'!AA69</f>
        <v/>
      </c>
      <c r="W69" s="673" t="n"/>
      <c r="X69" s="673" t="n"/>
      <c r="Y69" s="690" t="n"/>
      <c r="Z69" s="574">
        <f>IFERROR((H69+P69+V69)/3, "")</f>
        <v/>
      </c>
      <c r="AA69" s="673" t="n"/>
      <c r="AB69" s="673" t="n"/>
      <c r="AC69" s="329">
        <f t="array" ref="AC69">IF(Z69="", "", _xlfn.IFS(Z69&gt;=90, "Advancing", Z69&gt;=80, "Benchmarking", Z69&gt;=75, "Connecting", Z69&gt;=65, "Developing", Z69&gt;=0, "Emerging"))</f>
        <v/>
      </c>
      <c r="AD69" s="302" t="n"/>
      <c r="AE69" s="292" t="n"/>
      <c r="AF69" s="291" t="n"/>
      <c r="AG69" s="291" t="n"/>
      <c r="AH69" s="291" t="n"/>
      <c r="AI69" s="293" t="n"/>
      <c r="AK69" s="292" t="n"/>
      <c r="AM69" s="296" t="n"/>
    </row>
    <row r="70" ht="18" customFormat="1" customHeight="1" s="294">
      <c r="A70" s="22" t="n">
        <v>7</v>
      </c>
      <c r="B70" s="552">
        <f>'INPUT DATA'!O17</f>
        <v/>
      </c>
      <c r="C70" s="553" t="n"/>
      <c r="D70" s="553" t="n"/>
      <c r="E70" s="554" t="n"/>
      <c r="F70" s="62" t="n"/>
      <c r="G70" s="63" t="n"/>
      <c r="H70" s="299">
        <f>'TERM 1'!AA70</f>
        <v/>
      </c>
      <c r="I70" s="63" t="n"/>
      <c r="J70" s="63" t="n"/>
      <c r="K70" s="63" t="n"/>
      <c r="L70" s="63" t="n"/>
      <c r="M70" s="64" t="n"/>
      <c r="N70" s="62" t="n"/>
      <c r="O70" s="63" t="n"/>
      <c r="P70" s="300">
        <f>'TERM 2'!AA70</f>
        <v/>
      </c>
      <c r="Q70" s="63" t="n"/>
      <c r="R70" s="63" t="n"/>
      <c r="S70" s="63" t="n"/>
      <c r="T70" s="63" t="n"/>
      <c r="U70" s="64" t="n"/>
      <c r="V70" s="694">
        <f>'TERM 3'!AA70</f>
        <v/>
      </c>
      <c r="W70" s="673" t="n"/>
      <c r="X70" s="673" t="n"/>
      <c r="Y70" s="690" t="n"/>
      <c r="Z70" s="574">
        <f>IFERROR((H70+P70+V70)/3, "")</f>
        <v/>
      </c>
      <c r="AA70" s="673" t="n"/>
      <c r="AB70" s="673" t="n"/>
      <c r="AC70" s="329">
        <f t="array" ref="AC70">IF(Z70="", "", _xlfn.IFS(Z70&gt;=90, "Advancing", Z70&gt;=80, "Benchmarking", Z70&gt;=75, "Connecting", Z70&gt;=65, "Developing", Z70&gt;=0, "Emerging"))</f>
        <v/>
      </c>
      <c r="AD70" s="302" t="n"/>
      <c r="AE70" s="292" t="n"/>
      <c r="AF70" s="291" t="n"/>
      <c r="AG70" s="291" t="n"/>
      <c r="AH70" s="291" t="n"/>
      <c r="AI70" s="293" t="n"/>
      <c r="AK70" s="292" t="n"/>
      <c r="AM70" s="296" t="n"/>
    </row>
    <row r="71" ht="18" customFormat="1" customHeight="1" s="294">
      <c r="A71" s="22" t="n">
        <v>8</v>
      </c>
      <c r="B71" s="552">
        <f>'INPUT DATA'!O18</f>
        <v/>
      </c>
      <c r="C71" s="553" t="n"/>
      <c r="D71" s="553" t="n"/>
      <c r="E71" s="554" t="n"/>
      <c r="F71" s="62" t="n"/>
      <c r="G71" s="63" t="n"/>
      <c r="H71" s="299">
        <f>'TERM 1'!AA71</f>
        <v/>
      </c>
      <c r="I71" s="63" t="n"/>
      <c r="J71" s="63" t="n"/>
      <c r="K71" s="63" t="n"/>
      <c r="L71" s="63" t="n"/>
      <c r="M71" s="64" t="n"/>
      <c r="N71" s="62" t="n"/>
      <c r="O71" s="63" t="n"/>
      <c r="P71" s="300">
        <f>'TERM 2'!AA71</f>
        <v/>
      </c>
      <c r="Q71" s="63" t="n"/>
      <c r="R71" s="63" t="n"/>
      <c r="S71" s="63" t="n"/>
      <c r="T71" s="63" t="n"/>
      <c r="U71" s="64" t="n"/>
      <c r="V71" s="694">
        <f>'TERM 3'!AA71</f>
        <v/>
      </c>
      <c r="W71" s="673" t="n"/>
      <c r="X71" s="673" t="n"/>
      <c r="Y71" s="690" t="n"/>
      <c r="Z71" s="574">
        <f>IFERROR((H71+P71+V71)/3, "")</f>
        <v/>
      </c>
      <c r="AA71" s="673" t="n"/>
      <c r="AB71" s="673" t="n"/>
      <c r="AC71" s="329">
        <f t="array" ref="AC71">IF(Z71="", "", _xlfn.IFS(Z71&gt;=90, "Advancing", Z71&gt;=80, "Benchmarking", Z71&gt;=75, "Connecting", Z71&gt;=65, "Developing", Z71&gt;=0, "Emerging"))</f>
        <v/>
      </c>
      <c r="AD71" s="302" t="n"/>
      <c r="AE71" s="292" t="n"/>
      <c r="AF71" s="291" t="n"/>
      <c r="AG71" s="291" t="n"/>
      <c r="AH71" s="291" t="n"/>
      <c r="AI71" s="293" t="n"/>
      <c r="AK71" s="292" t="n"/>
      <c r="AM71" s="296" t="n"/>
    </row>
    <row r="72" ht="18" customFormat="1" customHeight="1" s="294">
      <c r="A72" s="22" t="n">
        <v>9</v>
      </c>
      <c r="B72" s="552">
        <f>'INPUT DATA'!O19</f>
        <v/>
      </c>
      <c r="C72" s="553" t="n"/>
      <c r="D72" s="553" t="n"/>
      <c r="E72" s="554" t="n"/>
      <c r="F72" s="62" t="n"/>
      <c r="G72" s="63" t="n"/>
      <c r="H72" s="299">
        <f>'TERM 1'!AA72</f>
        <v/>
      </c>
      <c r="I72" s="63" t="n"/>
      <c r="J72" s="63" t="n"/>
      <c r="K72" s="63" t="n"/>
      <c r="L72" s="63" t="n"/>
      <c r="M72" s="64" t="n"/>
      <c r="N72" s="62" t="n"/>
      <c r="O72" s="63" t="n"/>
      <c r="P72" s="300">
        <f>'TERM 2'!AA72</f>
        <v/>
      </c>
      <c r="Q72" s="63" t="n"/>
      <c r="R72" s="63" t="n"/>
      <c r="S72" s="63" t="n"/>
      <c r="T72" s="63" t="n"/>
      <c r="U72" s="64" t="n"/>
      <c r="V72" s="694">
        <f>'TERM 3'!AA72</f>
        <v/>
      </c>
      <c r="W72" s="673" t="n"/>
      <c r="X72" s="673" t="n"/>
      <c r="Y72" s="690" t="n"/>
      <c r="Z72" s="574">
        <f>IFERROR((H72+P72+V72)/3, "")</f>
        <v/>
      </c>
      <c r="AA72" s="673" t="n"/>
      <c r="AB72" s="673" t="n"/>
      <c r="AC72" s="329">
        <f t="array" ref="AC72">IF(Z72="", "", _xlfn.IFS(Z72&gt;=90, "Advancing", Z72&gt;=80, "Benchmarking", Z72&gt;=75, "Connecting", Z72&gt;=65, "Developing", Z72&gt;=0, "Emerging"))</f>
        <v/>
      </c>
      <c r="AD72" s="302" t="n"/>
      <c r="AE72" s="292" t="n"/>
      <c r="AF72" s="291" t="n"/>
      <c r="AG72" s="291" t="n"/>
      <c r="AH72" s="291" t="n"/>
      <c r="AI72" s="293" t="n"/>
      <c r="AK72" s="292" t="n"/>
      <c r="AM72" s="296" t="n"/>
    </row>
    <row r="73" ht="18" customFormat="1" customHeight="1" s="294">
      <c r="A73" s="22" t="n">
        <v>10</v>
      </c>
      <c r="B73" s="552">
        <f>'INPUT DATA'!O20</f>
        <v/>
      </c>
      <c r="C73" s="553" t="n"/>
      <c r="D73" s="553" t="n"/>
      <c r="E73" s="554" t="n"/>
      <c r="F73" s="62" t="n"/>
      <c r="G73" s="63" t="n"/>
      <c r="H73" s="299">
        <f>'TERM 1'!AA73</f>
        <v/>
      </c>
      <c r="I73" s="63" t="n"/>
      <c r="J73" s="63" t="n"/>
      <c r="K73" s="63" t="n"/>
      <c r="L73" s="63" t="n"/>
      <c r="M73" s="64" t="n"/>
      <c r="N73" s="62" t="n"/>
      <c r="O73" s="63" t="n"/>
      <c r="P73" s="300">
        <f>'TERM 2'!AA73</f>
        <v/>
      </c>
      <c r="Q73" s="63" t="n"/>
      <c r="R73" s="63" t="n"/>
      <c r="S73" s="63" t="n"/>
      <c r="T73" s="63" t="n"/>
      <c r="U73" s="64" t="n"/>
      <c r="V73" s="694">
        <f>'TERM 3'!AA73</f>
        <v/>
      </c>
      <c r="W73" s="673" t="n"/>
      <c r="X73" s="673" t="n"/>
      <c r="Y73" s="690" t="n"/>
      <c r="Z73" s="574">
        <f>IFERROR((H73+P73+V73)/3, "")</f>
        <v/>
      </c>
      <c r="AA73" s="673" t="n"/>
      <c r="AB73" s="673" t="n"/>
      <c r="AC73" s="329">
        <f t="array" ref="AC73">IF(Z73="", "", _xlfn.IFS(Z73&gt;=90, "Advancing", Z73&gt;=80, "Benchmarking", Z73&gt;=75, "Connecting", Z73&gt;=65, "Developing", Z73&gt;=0, "Emerging"))</f>
        <v/>
      </c>
      <c r="AD73" s="302" t="n"/>
      <c r="AE73" s="292" t="n"/>
      <c r="AF73" s="291" t="n"/>
      <c r="AG73" s="291" t="n"/>
      <c r="AH73" s="291" t="n"/>
      <c r="AI73" s="293" t="n"/>
      <c r="AK73" s="292" t="n"/>
      <c r="AM73" s="296" t="n"/>
    </row>
    <row r="74" ht="18" customFormat="1" customHeight="1" s="294">
      <c r="A74" s="22" t="n">
        <v>11</v>
      </c>
      <c r="B74" s="552">
        <f>'INPUT DATA'!O21</f>
        <v/>
      </c>
      <c r="C74" s="553" t="n"/>
      <c r="D74" s="553" t="n"/>
      <c r="E74" s="554" t="n"/>
      <c r="F74" s="62" t="n"/>
      <c r="G74" s="63" t="n"/>
      <c r="H74" s="299">
        <f>'TERM 1'!AA74</f>
        <v/>
      </c>
      <c r="I74" s="63" t="n"/>
      <c r="J74" s="63" t="n"/>
      <c r="K74" s="63" t="n"/>
      <c r="L74" s="63" t="n"/>
      <c r="M74" s="64" t="n"/>
      <c r="N74" s="62" t="n"/>
      <c r="O74" s="63" t="n"/>
      <c r="P74" s="300">
        <f>'TERM 2'!AA74</f>
        <v/>
      </c>
      <c r="Q74" s="63" t="n"/>
      <c r="R74" s="63" t="n"/>
      <c r="S74" s="63" t="n"/>
      <c r="T74" s="63" t="n"/>
      <c r="U74" s="64" t="n"/>
      <c r="V74" s="694">
        <f>'TERM 3'!AA74</f>
        <v/>
      </c>
      <c r="W74" s="673" t="n"/>
      <c r="X74" s="673" t="n"/>
      <c r="Y74" s="690" t="n"/>
      <c r="Z74" s="574">
        <f>IFERROR((H74+P74+V74)/3, "")</f>
        <v/>
      </c>
      <c r="AA74" s="673" t="n"/>
      <c r="AB74" s="673" t="n"/>
      <c r="AC74" s="329">
        <f t="array" ref="AC74">IF(Z74="", "", _xlfn.IFS(Z74&gt;=90, "Advancing", Z74&gt;=80, "Benchmarking", Z74&gt;=75, "Connecting", Z74&gt;=65, "Developing", Z74&gt;=0, "Emerging"))</f>
        <v/>
      </c>
      <c r="AD74" s="302" t="n"/>
      <c r="AE74" s="292" t="n"/>
      <c r="AF74" s="291" t="n"/>
      <c r="AG74" s="291" t="n"/>
      <c r="AH74" s="291" t="n"/>
      <c r="AI74" s="293" t="n"/>
      <c r="AK74" s="292" t="n"/>
      <c r="AM74" s="296" t="n"/>
    </row>
    <row r="75" ht="18" customFormat="1" customHeight="1" s="294">
      <c r="A75" s="22" t="n">
        <v>12</v>
      </c>
      <c r="B75" s="552">
        <f>'INPUT DATA'!O22</f>
        <v/>
      </c>
      <c r="C75" s="553" t="n"/>
      <c r="D75" s="553" t="n"/>
      <c r="E75" s="554" t="n"/>
      <c r="F75" s="62" t="n"/>
      <c r="G75" s="63" t="n"/>
      <c r="H75" s="299">
        <f>'TERM 1'!AA75</f>
        <v/>
      </c>
      <c r="I75" s="63" t="n"/>
      <c r="J75" s="63" t="n"/>
      <c r="K75" s="63" t="n"/>
      <c r="L75" s="63" t="n"/>
      <c r="M75" s="64" t="n"/>
      <c r="N75" s="62" t="n"/>
      <c r="O75" s="63" t="n"/>
      <c r="P75" s="300">
        <f>'TERM 2'!AA75</f>
        <v/>
      </c>
      <c r="Q75" s="63" t="n"/>
      <c r="R75" s="63" t="n"/>
      <c r="S75" s="63" t="n"/>
      <c r="T75" s="63" t="n"/>
      <c r="U75" s="64" t="n"/>
      <c r="V75" s="694">
        <f>'TERM 3'!AA75</f>
        <v/>
      </c>
      <c r="W75" s="673" t="n"/>
      <c r="X75" s="673" t="n"/>
      <c r="Y75" s="690" t="n"/>
      <c r="Z75" s="574">
        <f>IFERROR((H75+P75+V75)/3, "")</f>
        <v/>
      </c>
      <c r="AA75" s="673" t="n"/>
      <c r="AB75" s="673" t="n"/>
      <c r="AC75" s="329">
        <f t="array" ref="AC75">IF(Z75="", "", _xlfn.IFS(Z75&gt;=90, "Advancing", Z75&gt;=80, "Benchmarking", Z75&gt;=75, "Connecting", Z75&gt;=65, "Developing", Z75&gt;=0, "Emerging"))</f>
        <v/>
      </c>
      <c r="AD75" s="302" t="n"/>
      <c r="AE75" s="292" t="n"/>
      <c r="AF75" s="291" t="n"/>
      <c r="AG75" s="291" t="n"/>
      <c r="AH75" s="291" t="n"/>
      <c r="AI75" s="293" t="n"/>
      <c r="AK75" s="292" t="n"/>
      <c r="AM75" s="296" t="n"/>
    </row>
    <row r="76" ht="18" customFormat="1" customHeight="1" s="294">
      <c r="A76" s="22" t="n">
        <v>13</v>
      </c>
      <c r="B76" s="552">
        <f>'INPUT DATA'!O23</f>
        <v/>
      </c>
      <c r="C76" s="553" t="n"/>
      <c r="D76" s="553" t="n"/>
      <c r="E76" s="554" t="n"/>
      <c r="F76" s="62" t="n"/>
      <c r="G76" s="63" t="n"/>
      <c r="H76" s="299">
        <f>'TERM 1'!AA76</f>
        <v/>
      </c>
      <c r="I76" s="63" t="n"/>
      <c r="J76" s="63" t="n"/>
      <c r="K76" s="63" t="n"/>
      <c r="L76" s="63" t="n"/>
      <c r="M76" s="64" t="n"/>
      <c r="N76" s="62" t="n"/>
      <c r="O76" s="63" t="n"/>
      <c r="P76" s="300">
        <f>'TERM 2'!AA76</f>
        <v/>
      </c>
      <c r="Q76" s="63" t="n"/>
      <c r="R76" s="63" t="n"/>
      <c r="S76" s="63" t="n"/>
      <c r="T76" s="63" t="n"/>
      <c r="U76" s="64" t="n"/>
      <c r="V76" s="694">
        <f>'TERM 3'!AA76</f>
        <v/>
      </c>
      <c r="W76" s="673" t="n"/>
      <c r="X76" s="673" t="n"/>
      <c r="Y76" s="690" t="n"/>
      <c r="Z76" s="574">
        <f>IFERROR((H76+P76+V76)/3, "")</f>
        <v/>
      </c>
      <c r="AA76" s="673" t="n"/>
      <c r="AB76" s="673" t="n"/>
      <c r="AC76" s="329">
        <f t="array" ref="AC76">IF(Z76="", "", _xlfn.IFS(Z76&gt;=90, "Advancing", Z76&gt;=80, "Benchmarking", Z76&gt;=75, "Connecting", Z76&gt;=65, "Developing", Z76&gt;=0, "Emerging"))</f>
        <v/>
      </c>
      <c r="AD76" s="302" t="n"/>
      <c r="AE76" s="292" t="n"/>
      <c r="AF76" s="291" t="n"/>
      <c r="AG76" s="291" t="n"/>
      <c r="AH76" s="291" t="n"/>
      <c r="AI76" s="293" t="n"/>
      <c r="AK76" s="292" t="n"/>
      <c r="AM76" s="296" t="n"/>
    </row>
    <row r="77" ht="18" customFormat="1" customHeight="1" s="294">
      <c r="A77" s="22" t="n">
        <v>14</v>
      </c>
      <c r="B77" s="552">
        <f>'INPUT DATA'!O24</f>
        <v/>
      </c>
      <c r="C77" s="553" t="n"/>
      <c r="D77" s="553" t="n"/>
      <c r="E77" s="554" t="n"/>
      <c r="F77" s="62" t="n"/>
      <c r="G77" s="63" t="n"/>
      <c r="H77" s="299">
        <f>'TERM 1'!AA77</f>
        <v/>
      </c>
      <c r="I77" s="63" t="n"/>
      <c r="J77" s="63" t="n"/>
      <c r="K77" s="63" t="n"/>
      <c r="L77" s="63" t="n"/>
      <c r="M77" s="64" t="n"/>
      <c r="N77" s="62" t="n"/>
      <c r="O77" s="63" t="n"/>
      <c r="P77" s="300">
        <f>'TERM 2'!AA77</f>
        <v/>
      </c>
      <c r="Q77" s="63" t="n"/>
      <c r="R77" s="63" t="n"/>
      <c r="S77" s="63" t="n"/>
      <c r="T77" s="63" t="n"/>
      <c r="U77" s="64" t="n"/>
      <c r="V77" s="694">
        <f>'TERM 3'!AA77</f>
        <v/>
      </c>
      <c r="W77" s="673" t="n"/>
      <c r="X77" s="673" t="n"/>
      <c r="Y77" s="690" t="n"/>
      <c r="Z77" s="574">
        <f>IFERROR((H77+P77+V77)/3, "")</f>
        <v/>
      </c>
      <c r="AA77" s="673" t="n"/>
      <c r="AB77" s="673" t="n"/>
      <c r="AC77" s="329">
        <f t="array" ref="AC77">IF(Z77="", "", _xlfn.IFS(Z77&gt;=90, "Advancing", Z77&gt;=80, "Benchmarking", Z77&gt;=75, "Connecting", Z77&gt;=65, "Developing", Z77&gt;=0, "Emerging"))</f>
        <v/>
      </c>
      <c r="AD77" s="302" t="n"/>
      <c r="AE77" s="292" t="n"/>
      <c r="AF77" s="291" t="n"/>
      <c r="AG77" s="291" t="n"/>
      <c r="AH77" s="291" t="n"/>
      <c r="AI77" s="293" t="n"/>
      <c r="AK77" s="292" t="n"/>
      <c r="AM77" s="296" t="n"/>
    </row>
    <row r="78" ht="18" customFormat="1" customHeight="1" s="294">
      <c r="A78" s="22" t="n">
        <v>15</v>
      </c>
      <c r="B78" s="552">
        <f>'INPUT DATA'!O25</f>
        <v/>
      </c>
      <c r="C78" s="553" t="n"/>
      <c r="D78" s="553" t="n"/>
      <c r="E78" s="554" t="n"/>
      <c r="F78" s="62" t="n"/>
      <c r="G78" s="63" t="n"/>
      <c r="H78" s="299">
        <f>'TERM 1'!AA78</f>
        <v/>
      </c>
      <c r="I78" s="63" t="n"/>
      <c r="J78" s="63" t="n"/>
      <c r="K78" s="63" t="n"/>
      <c r="L78" s="63" t="n"/>
      <c r="M78" s="64" t="n"/>
      <c r="N78" s="62" t="n"/>
      <c r="O78" s="63" t="n"/>
      <c r="P78" s="300">
        <f>'TERM 2'!AA78</f>
        <v/>
      </c>
      <c r="Q78" s="63" t="n"/>
      <c r="R78" s="63" t="n"/>
      <c r="S78" s="63" t="n"/>
      <c r="T78" s="63" t="n"/>
      <c r="U78" s="64" t="n"/>
      <c r="V78" s="694">
        <f>'TERM 3'!AA78</f>
        <v/>
      </c>
      <c r="W78" s="673" t="n"/>
      <c r="X78" s="673" t="n"/>
      <c r="Y78" s="690" t="n"/>
      <c r="Z78" s="574">
        <f>IFERROR((H78+P78+V78)/3, "")</f>
        <v/>
      </c>
      <c r="AA78" s="673" t="n"/>
      <c r="AB78" s="673" t="n"/>
      <c r="AC78" s="329">
        <f t="array" ref="AC78">IF(Z78="", "", _xlfn.IFS(Z78&gt;=90, "Advancing", Z78&gt;=80, "Benchmarking", Z78&gt;=75, "Connecting", Z78&gt;=65, "Developing", Z78&gt;=0, "Emerging"))</f>
        <v/>
      </c>
      <c r="AD78" s="302" t="n"/>
      <c r="AE78" s="292" t="n"/>
      <c r="AF78" s="291" t="n"/>
      <c r="AG78" s="291" t="n"/>
      <c r="AH78" s="291" t="n"/>
      <c r="AI78" s="293" t="n"/>
      <c r="AK78" s="292" t="n"/>
      <c r="AM78" s="296" t="n"/>
    </row>
    <row r="79" ht="18" customFormat="1" customHeight="1" s="294">
      <c r="A79" s="22" t="n">
        <v>16</v>
      </c>
      <c r="B79" s="552">
        <f>'INPUT DATA'!O26</f>
        <v/>
      </c>
      <c r="C79" s="553" t="n"/>
      <c r="D79" s="553" t="n"/>
      <c r="E79" s="554" t="n"/>
      <c r="F79" s="62" t="n"/>
      <c r="G79" s="63" t="n"/>
      <c r="H79" s="299">
        <f>'TERM 1'!AA79</f>
        <v/>
      </c>
      <c r="I79" s="63" t="n"/>
      <c r="J79" s="63" t="n"/>
      <c r="K79" s="63" t="n"/>
      <c r="L79" s="63" t="n"/>
      <c r="M79" s="64" t="n"/>
      <c r="N79" s="62" t="n"/>
      <c r="O79" s="63" t="n"/>
      <c r="P79" s="300">
        <f>'TERM 2'!AA79</f>
        <v/>
      </c>
      <c r="Q79" s="63" t="n"/>
      <c r="R79" s="63" t="n"/>
      <c r="S79" s="63" t="n"/>
      <c r="T79" s="63" t="n"/>
      <c r="U79" s="64" t="n"/>
      <c r="V79" s="694">
        <f>'TERM 3'!AA79</f>
        <v/>
      </c>
      <c r="W79" s="673" t="n"/>
      <c r="X79" s="673" t="n"/>
      <c r="Y79" s="690" t="n"/>
      <c r="Z79" s="574">
        <f>IFERROR((H79+P79+V79)/3, "")</f>
        <v/>
      </c>
      <c r="AA79" s="673" t="n"/>
      <c r="AB79" s="673" t="n"/>
      <c r="AC79" s="329">
        <f t="array" ref="AC79">IF(Z79="", "", _xlfn.IFS(Z79&gt;=90, "Advancing", Z79&gt;=80, "Benchmarking", Z79&gt;=75, "Connecting", Z79&gt;=65, "Developing", Z79&gt;=0, "Emerging"))</f>
        <v/>
      </c>
      <c r="AD79" s="302" t="n"/>
      <c r="AE79" s="292" t="n"/>
      <c r="AF79" s="291" t="n"/>
      <c r="AG79" s="291" t="n"/>
      <c r="AH79" s="291" t="n"/>
      <c r="AI79" s="293" t="n"/>
      <c r="AK79" s="292" t="n"/>
      <c r="AM79" s="296" t="n"/>
    </row>
    <row r="80" ht="18" customFormat="1" customHeight="1" s="294">
      <c r="A80" s="22" t="n">
        <v>17</v>
      </c>
      <c r="B80" s="552">
        <f>'INPUT DATA'!O27</f>
        <v/>
      </c>
      <c r="C80" s="553" t="n"/>
      <c r="D80" s="553" t="n"/>
      <c r="E80" s="554" t="n"/>
      <c r="F80" s="62" t="n"/>
      <c r="G80" s="63" t="n"/>
      <c r="H80" s="299">
        <f>'TERM 1'!AA80</f>
        <v/>
      </c>
      <c r="I80" s="63" t="n"/>
      <c r="J80" s="63" t="n"/>
      <c r="K80" s="63" t="n"/>
      <c r="L80" s="63" t="n"/>
      <c r="M80" s="64" t="n"/>
      <c r="N80" s="62" t="n"/>
      <c r="O80" s="63" t="n"/>
      <c r="P80" s="300">
        <f>'TERM 2'!AA80</f>
        <v/>
      </c>
      <c r="Q80" s="63" t="n"/>
      <c r="R80" s="63" t="n"/>
      <c r="S80" s="63" t="n"/>
      <c r="T80" s="63" t="n"/>
      <c r="U80" s="64" t="n"/>
      <c r="V80" s="694">
        <f>'TERM 3'!AA80</f>
        <v/>
      </c>
      <c r="W80" s="673" t="n"/>
      <c r="X80" s="673" t="n"/>
      <c r="Y80" s="690" t="n"/>
      <c r="Z80" s="574">
        <f>IFERROR((H80+P80+V80)/3, "")</f>
        <v/>
      </c>
      <c r="AA80" s="673" t="n"/>
      <c r="AB80" s="673" t="n"/>
      <c r="AC80" s="329">
        <f t="array" ref="AC80">IF(Z80="", "", _xlfn.IFS(Z80&gt;=90, "Advancing", Z80&gt;=80, "Benchmarking", Z80&gt;=75, "Connecting", Z80&gt;=65, "Developing", Z80&gt;=0, "Emerging"))</f>
        <v/>
      </c>
      <c r="AD80" s="302" t="n"/>
      <c r="AE80" s="292" t="n"/>
      <c r="AF80" s="291" t="n"/>
      <c r="AG80" s="291" t="n"/>
      <c r="AH80" s="291" t="n"/>
      <c r="AI80" s="293" t="n"/>
      <c r="AK80" s="292" t="n"/>
      <c r="AM80" s="296" t="n"/>
    </row>
    <row r="81" ht="18" customFormat="1" customHeight="1" s="294">
      <c r="A81" s="22" t="n">
        <v>18</v>
      </c>
      <c r="B81" s="552">
        <f>'INPUT DATA'!O28</f>
        <v/>
      </c>
      <c r="C81" s="553" t="n"/>
      <c r="D81" s="553" t="n"/>
      <c r="E81" s="554" t="n"/>
      <c r="F81" s="62" t="n"/>
      <c r="G81" s="63" t="n"/>
      <c r="H81" s="299">
        <f>'TERM 1'!AA81</f>
        <v/>
      </c>
      <c r="I81" s="63" t="n"/>
      <c r="J81" s="63" t="n"/>
      <c r="K81" s="63" t="n"/>
      <c r="L81" s="63" t="n"/>
      <c r="M81" s="64" t="n"/>
      <c r="N81" s="62" t="n"/>
      <c r="O81" s="63" t="n"/>
      <c r="P81" s="300">
        <f>'TERM 2'!AA81</f>
        <v/>
      </c>
      <c r="Q81" s="63" t="n"/>
      <c r="R81" s="63" t="n"/>
      <c r="S81" s="63" t="n"/>
      <c r="T81" s="63" t="n"/>
      <c r="U81" s="64" t="n"/>
      <c r="V81" s="694">
        <f>'TERM 3'!AA81</f>
        <v/>
      </c>
      <c r="W81" s="673" t="n"/>
      <c r="X81" s="673" t="n"/>
      <c r="Y81" s="690" t="n"/>
      <c r="Z81" s="574">
        <f>IFERROR((H81+P81+V81)/3, "")</f>
        <v/>
      </c>
      <c r="AA81" s="673" t="n"/>
      <c r="AB81" s="673" t="n"/>
      <c r="AC81" s="329">
        <f t="array" ref="AC81">IF(Z81="", "", _xlfn.IFS(Z81&gt;=90, "Advancing", Z81&gt;=80, "Benchmarking", Z81&gt;=75, "Connecting", Z81&gt;=65, "Developing", Z81&gt;=0, "Emerging"))</f>
        <v/>
      </c>
      <c r="AD81" s="302" t="n"/>
      <c r="AE81" s="292" t="n"/>
      <c r="AF81" s="291" t="n"/>
      <c r="AG81" s="291" t="n"/>
      <c r="AH81" s="291" t="n"/>
      <c r="AI81" s="293" t="n"/>
      <c r="AK81" s="292" t="n"/>
      <c r="AM81" s="296" t="n"/>
    </row>
    <row r="82" ht="18" customFormat="1" customHeight="1" s="294">
      <c r="A82" s="22" t="n">
        <v>19</v>
      </c>
      <c r="B82" s="552">
        <f>'INPUT DATA'!O29</f>
        <v/>
      </c>
      <c r="C82" s="553" t="n"/>
      <c r="D82" s="553" t="n"/>
      <c r="E82" s="554" t="n"/>
      <c r="F82" s="62" t="n"/>
      <c r="G82" s="63" t="n"/>
      <c r="H82" s="299">
        <f>'TERM 1'!AA82</f>
        <v/>
      </c>
      <c r="I82" s="63" t="n"/>
      <c r="J82" s="63" t="n"/>
      <c r="K82" s="63" t="n"/>
      <c r="L82" s="63" t="n"/>
      <c r="M82" s="64" t="n"/>
      <c r="N82" s="62" t="n"/>
      <c r="O82" s="63" t="n"/>
      <c r="P82" s="300">
        <f>'TERM 2'!AA82</f>
        <v/>
      </c>
      <c r="Q82" s="63" t="n"/>
      <c r="R82" s="63" t="n"/>
      <c r="S82" s="63" t="n"/>
      <c r="T82" s="63" t="n"/>
      <c r="U82" s="64" t="n"/>
      <c r="V82" s="694">
        <f>'TERM 3'!AA82</f>
        <v/>
      </c>
      <c r="W82" s="673" t="n"/>
      <c r="X82" s="673" t="n"/>
      <c r="Y82" s="690" t="n"/>
      <c r="Z82" s="574">
        <f>IFERROR((H82+P82+V82)/3, "")</f>
        <v/>
      </c>
      <c r="AA82" s="673" t="n"/>
      <c r="AB82" s="673" t="n"/>
      <c r="AC82" s="329">
        <f t="array" ref="AC82">IF(Z82="", "", _xlfn.IFS(Z82&gt;=90, "Advancing", Z82&gt;=80, "Benchmarking", Z82&gt;=75, "Connecting", Z82&gt;=65, "Developing", Z82&gt;=0, "Emerging"))</f>
        <v/>
      </c>
      <c r="AD82" s="302" t="n"/>
      <c r="AE82" s="292" t="n"/>
      <c r="AF82" s="291" t="n"/>
      <c r="AG82" s="291" t="n"/>
      <c r="AH82" s="291" t="n"/>
      <c r="AI82" s="293" t="n"/>
      <c r="AK82" s="292" t="n"/>
      <c r="AM82" s="296" t="n"/>
    </row>
    <row r="83" ht="18" customFormat="1" customHeight="1" s="294">
      <c r="A83" s="22" t="n">
        <v>20</v>
      </c>
      <c r="B83" s="552">
        <f>'INPUT DATA'!O30</f>
        <v/>
      </c>
      <c r="C83" s="553" t="n"/>
      <c r="D83" s="553" t="n"/>
      <c r="E83" s="554" t="n"/>
      <c r="F83" s="62" t="n"/>
      <c r="G83" s="63" t="n"/>
      <c r="H83" s="299">
        <f>'TERM 1'!AA83</f>
        <v/>
      </c>
      <c r="I83" s="63" t="n"/>
      <c r="J83" s="63" t="n"/>
      <c r="K83" s="63" t="n"/>
      <c r="L83" s="63" t="n"/>
      <c r="M83" s="64" t="n"/>
      <c r="N83" s="62" t="n"/>
      <c r="O83" s="63" t="n"/>
      <c r="P83" s="300">
        <f>'TERM 2'!AA83</f>
        <v/>
      </c>
      <c r="Q83" s="63" t="n"/>
      <c r="R83" s="63" t="n"/>
      <c r="S83" s="63" t="n"/>
      <c r="T83" s="63" t="n"/>
      <c r="U83" s="64" t="n"/>
      <c r="V83" s="694">
        <f>'TERM 3'!AA83</f>
        <v/>
      </c>
      <c r="W83" s="673" t="n"/>
      <c r="X83" s="673" t="n"/>
      <c r="Y83" s="690" t="n"/>
      <c r="Z83" s="574">
        <f>IFERROR((H83+P83+V83)/3, "")</f>
        <v/>
      </c>
      <c r="AA83" s="673" t="n"/>
      <c r="AB83" s="673" t="n"/>
      <c r="AC83" s="329">
        <f t="array" ref="AC83">IF(Z83="", "", _xlfn.IFS(Z83&gt;=90, "Advancing", Z83&gt;=80, "Benchmarking", Z83&gt;=75, "Connecting", Z83&gt;=65, "Developing", Z83&gt;=0, "Emerging"))</f>
        <v/>
      </c>
      <c r="AD83" s="302" t="n"/>
      <c r="AE83" s="292" t="n"/>
      <c r="AF83" s="291" t="n"/>
      <c r="AG83" s="291" t="n"/>
      <c r="AH83" s="291" t="n"/>
      <c r="AI83" s="293" t="n"/>
      <c r="AK83" s="292" t="n"/>
      <c r="AM83" s="296" t="n"/>
    </row>
    <row r="84" ht="18" customFormat="1" customHeight="1" s="294">
      <c r="A84" s="22" t="n">
        <v>21</v>
      </c>
      <c r="B84" s="552">
        <f>'INPUT DATA'!O31</f>
        <v/>
      </c>
      <c r="C84" s="553" t="n"/>
      <c r="D84" s="553" t="n"/>
      <c r="E84" s="554" t="n"/>
      <c r="F84" s="62" t="n"/>
      <c r="G84" s="63" t="n"/>
      <c r="H84" s="299">
        <f>'TERM 1'!AA84</f>
        <v/>
      </c>
      <c r="I84" s="63" t="n"/>
      <c r="J84" s="63" t="n"/>
      <c r="K84" s="63" t="n"/>
      <c r="L84" s="63" t="n"/>
      <c r="M84" s="64" t="n"/>
      <c r="N84" s="62" t="n"/>
      <c r="O84" s="63" t="n"/>
      <c r="P84" s="300">
        <f>'TERM 2'!AA84</f>
        <v/>
      </c>
      <c r="Q84" s="63" t="n"/>
      <c r="R84" s="63" t="n"/>
      <c r="S84" s="63" t="n"/>
      <c r="T84" s="63" t="n"/>
      <c r="U84" s="64" t="n"/>
      <c r="V84" s="694">
        <f>'TERM 3'!AA84</f>
        <v/>
      </c>
      <c r="W84" s="673" t="n"/>
      <c r="X84" s="673" t="n"/>
      <c r="Y84" s="690" t="n"/>
      <c r="Z84" s="574">
        <f>IFERROR((H84+P84+V84)/3, "")</f>
        <v/>
      </c>
      <c r="AA84" s="673" t="n"/>
      <c r="AB84" s="673" t="n"/>
      <c r="AC84" s="329">
        <f t="array" ref="AC84">IF(Z84="", "", _xlfn.IFS(Z84&gt;=90, "Advancing", Z84&gt;=80, "Benchmarking", Z84&gt;=75, "Connecting", Z84&gt;=65, "Developing", Z84&gt;=0, "Emerging"))</f>
        <v/>
      </c>
      <c r="AD84" s="302" t="n"/>
      <c r="AE84" s="292" t="n"/>
      <c r="AF84" s="291" t="n"/>
      <c r="AG84" s="291" t="n"/>
      <c r="AH84" s="291" t="n"/>
      <c r="AI84" s="293" t="n"/>
      <c r="AK84" s="292" t="n"/>
      <c r="AM84" s="296" t="n"/>
    </row>
    <row r="85" ht="18" customFormat="1" customHeight="1" s="294">
      <c r="A85" s="22" t="n">
        <v>22</v>
      </c>
      <c r="B85" s="552">
        <f>'INPUT DATA'!O32</f>
        <v/>
      </c>
      <c r="C85" s="553" t="n"/>
      <c r="D85" s="553" t="n"/>
      <c r="E85" s="554" t="n"/>
      <c r="F85" s="62" t="n"/>
      <c r="G85" s="63" t="n"/>
      <c r="H85" s="299">
        <f>'TERM 1'!AA85</f>
        <v/>
      </c>
      <c r="I85" s="63" t="n"/>
      <c r="J85" s="63" t="n"/>
      <c r="K85" s="63" t="n"/>
      <c r="L85" s="63" t="n"/>
      <c r="M85" s="64" t="n"/>
      <c r="N85" s="62" t="n"/>
      <c r="O85" s="63" t="n"/>
      <c r="P85" s="300">
        <f>'TERM 2'!AA85</f>
        <v/>
      </c>
      <c r="Q85" s="63" t="n"/>
      <c r="R85" s="63" t="n"/>
      <c r="S85" s="63" t="n"/>
      <c r="T85" s="63" t="n"/>
      <c r="U85" s="64" t="n"/>
      <c r="V85" s="694">
        <f>'TERM 3'!AA85</f>
        <v/>
      </c>
      <c r="W85" s="673" t="n"/>
      <c r="X85" s="673" t="n"/>
      <c r="Y85" s="690" t="n"/>
      <c r="Z85" s="574">
        <f>IFERROR((H85+P85+V85)/3, "")</f>
        <v/>
      </c>
      <c r="AA85" s="673" t="n"/>
      <c r="AB85" s="673" t="n"/>
      <c r="AC85" s="329">
        <f t="array" ref="AC85">IF(Z85="", "", _xlfn.IFS(Z85&gt;=90, "Advancing", Z85&gt;=80, "Benchmarking", Z85&gt;=75, "Connecting", Z85&gt;=65, "Developing", Z85&gt;=0, "Emerging"))</f>
        <v/>
      </c>
      <c r="AD85" s="302" t="n"/>
      <c r="AE85" s="292" t="n"/>
      <c r="AF85" s="291" t="n"/>
      <c r="AG85" s="291" t="n"/>
      <c r="AH85" s="291" t="n"/>
      <c r="AI85" s="293" t="n"/>
      <c r="AK85" s="292" t="n"/>
      <c r="AM85" s="296" t="n"/>
    </row>
    <row r="86" ht="18" customFormat="1" customHeight="1" s="294">
      <c r="A86" s="22" t="n">
        <v>23</v>
      </c>
      <c r="B86" s="552">
        <f>'INPUT DATA'!O33</f>
        <v/>
      </c>
      <c r="C86" s="553" t="n"/>
      <c r="D86" s="553" t="n"/>
      <c r="E86" s="554" t="n"/>
      <c r="F86" s="62" t="n"/>
      <c r="G86" s="63" t="n"/>
      <c r="H86" s="299">
        <f>'TERM 1'!AA86</f>
        <v/>
      </c>
      <c r="I86" s="63" t="n"/>
      <c r="J86" s="63" t="n"/>
      <c r="K86" s="63" t="n"/>
      <c r="L86" s="63" t="n"/>
      <c r="M86" s="64" t="n"/>
      <c r="N86" s="62" t="n"/>
      <c r="O86" s="63" t="n"/>
      <c r="P86" s="300">
        <f>'TERM 2'!AA86</f>
        <v/>
      </c>
      <c r="Q86" s="63" t="n"/>
      <c r="R86" s="63" t="n"/>
      <c r="S86" s="63" t="n"/>
      <c r="T86" s="63" t="n"/>
      <c r="U86" s="64" t="n"/>
      <c r="V86" s="694">
        <f>'TERM 3'!AA86</f>
        <v/>
      </c>
      <c r="W86" s="673" t="n"/>
      <c r="X86" s="673" t="n"/>
      <c r="Y86" s="690" t="n"/>
      <c r="Z86" s="574">
        <f>IFERROR((H86+P86+V86)/3, "")</f>
        <v/>
      </c>
      <c r="AA86" s="673" t="n"/>
      <c r="AB86" s="673" t="n"/>
      <c r="AC86" s="329">
        <f t="array" ref="AC86">IF(Z86="", "", _xlfn.IFS(Z86&gt;=90, "Advancing", Z86&gt;=80, "Benchmarking", Z86&gt;=75, "Connecting", Z86&gt;=65, "Developing", Z86&gt;=0, "Emerging"))</f>
        <v/>
      </c>
      <c r="AD86" s="302" t="n"/>
      <c r="AE86" s="292" t="n"/>
      <c r="AF86" s="291" t="n"/>
      <c r="AG86" s="291" t="n"/>
      <c r="AH86" s="291" t="n"/>
      <c r="AI86" s="293" t="n"/>
      <c r="AK86" s="292" t="n"/>
      <c r="AM86" s="296" t="n"/>
    </row>
    <row r="87" ht="18" customFormat="1" customHeight="1" s="294">
      <c r="A87" s="22" t="n">
        <v>24</v>
      </c>
      <c r="B87" s="552">
        <f>'INPUT DATA'!O34</f>
        <v/>
      </c>
      <c r="C87" s="553" t="n"/>
      <c r="D87" s="553" t="n"/>
      <c r="E87" s="554" t="n"/>
      <c r="F87" s="62" t="n"/>
      <c r="G87" s="63" t="n"/>
      <c r="H87" s="299">
        <f>'TERM 1'!AA87</f>
        <v/>
      </c>
      <c r="I87" s="63" t="n"/>
      <c r="J87" s="63" t="n"/>
      <c r="K87" s="63" t="n"/>
      <c r="L87" s="63" t="n"/>
      <c r="M87" s="64" t="n"/>
      <c r="N87" s="62" t="n"/>
      <c r="O87" s="63" t="n"/>
      <c r="P87" s="300">
        <f>'TERM 2'!AA87</f>
        <v/>
      </c>
      <c r="Q87" s="63" t="n"/>
      <c r="R87" s="63" t="n"/>
      <c r="S87" s="63" t="n"/>
      <c r="T87" s="63" t="n"/>
      <c r="U87" s="64" t="n"/>
      <c r="V87" s="694">
        <f>'TERM 3'!AA87</f>
        <v/>
      </c>
      <c r="W87" s="673" t="n"/>
      <c r="X87" s="673" t="n"/>
      <c r="Y87" s="690" t="n"/>
      <c r="Z87" s="574">
        <f>IFERROR((H87+P87+V87)/3, "")</f>
        <v/>
      </c>
      <c r="AA87" s="673" t="n"/>
      <c r="AB87" s="673" t="n"/>
      <c r="AC87" s="329">
        <f t="array" ref="AC87">IF(Z87="", "", _xlfn.IFS(Z87&gt;=90, "Advancing", Z87&gt;=80, "Benchmarking", Z87&gt;=75, "Connecting", Z87&gt;=65, "Developing", Z87&gt;=0, "Emerging"))</f>
        <v/>
      </c>
      <c r="AD87" s="302" t="n"/>
      <c r="AE87" s="292" t="n"/>
      <c r="AF87" s="291" t="n"/>
      <c r="AG87" s="291" t="n"/>
      <c r="AH87" s="291" t="n"/>
      <c r="AI87" s="293" t="n"/>
      <c r="AK87" s="292" t="n"/>
      <c r="AM87" s="296" t="n"/>
    </row>
    <row r="88" ht="18" customFormat="1" customHeight="1" s="294">
      <c r="A88" s="22" t="n">
        <v>25</v>
      </c>
      <c r="B88" s="552">
        <f>'INPUT DATA'!O35</f>
        <v/>
      </c>
      <c r="C88" s="553" t="n"/>
      <c r="D88" s="553" t="n"/>
      <c r="E88" s="554" t="n"/>
      <c r="F88" s="62" t="n"/>
      <c r="G88" s="63" t="n"/>
      <c r="H88" s="299">
        <f>'TERM 1'!AA88</f>
        <v/>
      </c>
      <c r="I88" s="63" t="n"/>
      <c r="J88" s="63" t="n"/>
      <c r="K88" s="63" t="n"/>
      <c r="L88" s="63" t="n"/>
      <c r="M88" s="64" t="n"/>
      <c r="N88" s="62" t="n"/>
      <c r="O88" s="63" t="n"/>
      <c r="P88" s="300">
        <f>'TERM 2'!AA88</f>
        <v/>
      </c>
      <c r="Q88" s="63" t="n"/>
      <c r="R88" s="63" t="n"/>
      <c r="S88" s="63" t="n"/>
      <c r="T88" s="63" t="n"/>
      <c r="U88" s="64" t="n"/>
      <c r="V88" s="694">
        <f>'TERM 3'!AA88</f>
        <v/>
      </c>
      <c r="W88" s="673" t="n"/>
      <c r="X88" s="673" t="n"/>
      <c r="Y88" s="690" t="n"/>
      <c r="Z88" s="574">
        <f>IFERROR((H88+P88+V88)/3, "")</f>
        <v/>
      </c>
      <c r="AA88" s="673" t="n"/>
      <c r="AB88" s="673" t="n"/>
      <c r="AC88" s="329">
        <f t="array" ref="AC88">IF(Z88="", "", _xlfn.IFS(Z88&gt;=90, "Advancing", Z88&gt;=80, "Benchmarking", Z88&gt;=75, "Connecting", Z88&gt;=65, "Developing", Z88&gt;=0, "Emerging"))</f>
        <v/>
      </c>
      <c r="AD88" s="302" t="n"/>
      <c r="AE88" s="292" t="n"/>
      <c r="AF88" s="291" t="n"/>
      <c r="AG88" s="291" t="n"/>
      <c r="AH88" s="291" t="n"/>
      <c r="AI88" s="293" t="n"/>
      <c r="AK88" s="292" t="n"/>
      <c r="AM88" s="296" t="n"/>
    </row>
    <row r="89" ht="18" customFormat="1" customHeight="1" s="294">
      <c r="A89" s="22" t="n">
        <v>26</v>
      </c>
      <c r="B89" s="552">
        <f>'INPUT DATA'!O36</f>
        <v/>
      </c>
      <c r="C89" s="553" t="n"/>
      <c r="D89" s="553" t="n"/>
      <c r="E89" s="554" t="n"/>
      <c r="F89" s="62" t="n"/>
      <c r="G89" s="63" t="n"/>
      <c r="H89" s="299">
        <f>'TERM 1'!AA89</f>
        <v/>
      </c>
      <c r="I89" s="63" t="n"/>
      <c r="J89" s="63" t="n"/>
      <c r="K89" s="63" t="n"/>
      <c r="L89" s="63" t="n"/>
      <c r="M89" s="64" t="n"/>
      <c r="N89" s="62" t="n"/>
      <c r="O89" s="63" t="n"/>
      <c r="P89" s="300">
        <f>'TERM 2'!AA89</f>
        <v/>
      </c>
      <c r="Q89" s="63" t="n"/>
      <c r="R89" s="63" t="n"/>
      <c r="S89" s="63" t="n"/>
      <c r="T89" s="63" t="n"/>
      <c r="U89" s="64" t="n"/>
      <c r="V89" s="694">
        <f>'TERM 3'!AA89</f>
        <v/>
      </c>
      <c r="W89" s="673" t="n"/>
      <c r="X89" s="673" t="n"/>
      <c r="Y89" s="690" t="n"/>
      <c r="Z89" s="574">
        <f>IFERROR((H89+P89+V89)/3, "")</f>
        <v/>
      </c>
      <c r="AA89" s="673" t="n"/>
      <c r="AB89" s="673" t="n"/>
      <c r="AC89" s="329">
        <f t="array" ref="AC89">IF(Z89="", "", _xlfn.IFS(Z89&gt;=90, "Advancing", Z89&gt;=80, "Benchmarking", Z89&gt;=75, "Connecting", Z89&gt;=65, "Developing", Z89&gt;=0, "Emerging"))</f>
        <v/>
      </c>
      <c r="AD89" s="302" t="n"/>
      <c r="AE89" s="292" t="n"/>
      <c r="AF89" s="291" t="n"/>
      <c r="AG89" s="291" t="n"/>
      <c r="AH89" s="291" t="n"/>
      <c r="AI89" s="293" t="n"/>
      <c r="AK89" s="292" t="n"/>
      <c r="AM89" s="296" t="n"/>
    </row>
    <row r="90" ht="18" customFormat="1" customHeight="1" s="294">
      <c r="A90" s="22" t="n">
        <v>27</v>
      </c>
      <c r="B90" s="552">
        <f>'INPUT DATA'!O37</f>
        <v/>
      </c>
      <c r="C90" s="553" t="n"/>
      <c r="D90" s="553" t="n"/>
      <c r="E90" s="554" t="n"/>
      <c r="F90" s="62" t="n"/>
      <c r="G90" s="63" t="n"/>
      <c r="H90" s="299">
        <f>'TERM 1'!AA90</f>
        <v/>
      </c>
      <c r="I90" s="63" t="n"/>
      <c r="J90" s="63" t="n"/>
      <c r="K90" s="63" t="n"/>
      <c r="L90" s="63" t="n"/>
      <c r="M90" s="64" t="n"/>
      <c r="N90" s="62" t="n"/>
      <c r="O90" s="63" t="n"/>
      <c r="P90" s="300">
        <f>'TERM 2'!AA90</f>
        <v/>
      </c>
      <c r="Q90" s="63" t="n"/>
      <c r="R90" s="63" t="n"/>
      <c r="S90" s="63" t="n"/>
      <c r="T90" s="63" t="n"/>
      <c r="U90" s="64" t="n"/>
      <c r="V90" s="694">
        <f>'TERM 3'!AA90</f>
        <v/>
      </c>
      <c r="W90" s="673" t="n"/>
      <c r="X90" s="673" t="n"/>
      <c r="Y90" s="690" t="n"/>
      <c r="Z90" s="574">
        <f>IFERROR((H90+P90+V90)/3, "")</f>
        <v/>
      </c>
      <c r="AA90" s="673" t="n"/>
      <c r="AB90" s="673" t="n"/>
      <c r="AC90" s="329">
        <f t="array" ref="AC90">IF(Z90="", "", _xlfn.IFS(Z90&gt;=90, "Advancing", Z90&gt;=80, "Benchmarking", Z90&gt;=75, "Connecting", Z90&gt;=65, "Developing", Z90&gt;=0, "Emerging"))</f>
        <v/>
      </c>
      <c r="AD90" s="302" t="n"/>
      <c r="AE90" s="292" t="n"/>
      <c r="AF90" s="291" t="n"/>
      <c r="AG90" s="291" t="n"/>
      <c r="AH90" s="291" t="n"/>
      <c r="AI90" s="293" t="n"/>
      <c r="AK90" s="292" t="n"/>
      <c r="AM90" s="296" t="n"/>
    </row>
    <row r="91" ht="18" customFormat="1" customHeight="1" s="294">
      <c r="A91" s="22" t="n">
        <v>28</v>
      </c>
      <c r="B91" s="552">
        <f>'INPUT DATA'!O38</f>
        <v/>
      </c>
      <c r="C91" s="553" t="n"/>
      <c r="D91" s="553" t="n"/>
      <c r="E91" s="554" t="n"/>
      <c r="F91" s="62" t="n"/>
      <c r="G91" s="63" t="n"/>
      <c r="H91" s="299">
        <f>'TERM 1'!AA91</f>
        <v/>
      </c>
      <c r="I91" s="63" t="n"/>
      <c r="J91" s="63" t="n"/>
      <c r="K91" s="63" t="n"/>
      <c r="L91" s="63" t="n"/>
      <c r="M91" s="64" t="n"/>
      <c r="N91" s="62" t="n"/>
      <c r="O91" s="63" t="n"/>
      <c r="P91" s="300">
        <f>'TERM 2'!AA91</f>
        <v/>
      </c>
      <c r="Q91" s="63" t="n"/>
      <c r="R91" s="63" t="n"/>
      <c r="S91" s="63" t="n"/>
      <c r="T91" s="63" t="n"/>
      <c r="U91" s="64" t="n"/>
      <c r="V91" s="694">
        <f>'TERM 3'!AA91</f>
        <v/>
      </c>
      <c r="W91" s="673" t="n"/>
      <c r="X91" s="673" t="n"/>
      <c r="Y91" s="690" t="n"/>
      <c r="Z91" s="574">
        <f>IFERROR((H91+P91+V91)/3, "")</f>
        <v/>
      </c>
      <c r="AA91" s="673" t="n"/>
      <c r="AB91" s="673" t="n"/>
      <c r="AC91" s="329">
        <f t="array" ref="AC91">IF(Z91="", "", _xlfn.IFS(Z91&gt;=90, "Advancing", Z91&gt;=80, "Benchmarking", Z91&gt;=75, "Connecting", Z91&gt;=65, "Developing", Z91&gt;=0, "Emerging"))</f>
        <v/>
      </c>
      <c r="AD91" s="302" t="n"/>
      <c r="AE91" s="292" t="n"/>
      <c r="AF91" s="291" t="n"/>
      <c r="AG91" s="291" t="n"/>
      <c r="AH91" s="291" t="n"/>
      <c r="AI91" s="293" t="n"/>
      <c r="AK91" s="292" t="n"/>
      <c r="AM91" s="296" t="n"/>
    </row>
    <row r="92" ht="18" customFormat="1" customHeight="1" s="294">
      <c r="A92" s="22" t="n">
        <v>29</v>
      </c>
      <c r="B92" s="552">
        <f>'INPUT DATA'!O39</f>
        <v/>
      </c>
      <c r="C92" s="553" t="n"/>
      <c r="D92" s="553" t="n"/>
      <c r="E92" s="554" t="n"/>
      <c r="F92" s="62" t="n"/>
      <c r="G92" s="63" t="n"/>
      <c r="H92" s="299">
        <f>'TERM 1'!AA92</f>
        <v/>
      </c>
      <c r="I92" s="63" t="n"/>
      <c r="J92" s="63" t="n"/>
      <c r="K92" s="63" t="n"/>
      <c r="L92" s="63" t="n"/>
      <c r="M92" s="64" t="n"/>
      <c r="N92" s="62" t="n"/>
      <c r="O92" s="63" t="n"/>
      <c r="P92" s="300">
        <f>'TERM 2'!AA92</f>
        <v/>
      </c>
      <c r="Q92" s="63" t="n"/>
      <c r="R92" s="63" t="n"/>
      <c r="S92" s="63" t="n"/>
      <c r="T92" s="63" t="n"/>
      <c r="U92" s="64" t="n"/>
      <c r="V92" s="694">
        <f>'TERM 3'!AA92</f>
        <v/>
      </c>
      <c r="W92" s="673" t="n"/>
      <c r="X92" s="673" t="n"/>
      <c r="Y92" s="690" t="n"/>
      <c r="Z92" s="574">
        <f>IFERROR((H92+P92+V92)/3, "")</f>
        <v/>
      </c>
      <c r="AA92" s="673" t="n"/>
      <c r="AB92" s="673" t="n"/>
      <c r="AC92" s="329">
        <f t="array" ref="AC92">IF(Z92="", "", _xlfn.IFS(Z92&gt;=90, "Advancing", Z92&gt;=80, "Benchmarking", Z92&gt;=75, "Connecting", Z92&gt;=65, "Developing", Z92&gt;=0, "Emerging"))</f>
        <v/>
      </c>
      <c r="AD92" s="302" t="n"/>
      <c r="AE92" s="292" t="n"/>
      <c r="AF92" s="291" t="n"/>
      <c r="AG92" s="291" t="n"/>
      <c r="AH92" s="291" t="n"/>
      <c r="AI92" s="293" t="n"/>
      <c r="AK92" s="292" t="n"/>
      <c r="AM92" s="296" t="n"/>
    </row>
    <row r="93" ht="18" customFormat="1" customHeight="1" s="294">
      <c r="A93" s="22" t="n">
        <v>30</v>
      </c>
      <c r="B93" s="552">
        <f>'INPUT DATA'!O40</f>
        <v/>
      </c>
      <c r="C93" s="553" t="n"/>
      <c r="D93" s="553" t="n"/>
      <c r="E93" s="554" t="n"/>
      <c r="F93" s="62" t="n"/>
      <c r="G93" s="63" t="n"/>
      <c r="H93" s="299">
        <f>'TERM 1'!AA93</f>
        <v/>
      </c>
      <c r="I93" s="63" t="n"/>
      <c r="J93" s="63" t="n"/>
      <c r="K93" s="63" t="n"/>
      <c r="L93" s="63" t="n"/>
      <c r="M93" s="64" t="n"/>
      <c r="N93" s="62" t="n"/>
      <c r="O93" s="63" t="n"/>
      <c r="P93" s="300">
        <f>'TERM 2'!AA93</f>
        <v/>
      </c>
      <c r="Q93" s="63" t="n"/>
      <c r="R93" s="63" t="n"/>
      <c r="S93" s="63" t="n"/>
      <c r="T93" s="63" t="n"/>
      <c r="U93" s="64" t="n"/>
      <c r="V93" s="694">
        <f>'TERM 3'!AA93</f>
        <v/>
      </c>
      <c r="W93" s="673" t="n"/>
      <c r="X93" s="673" t="n"/>
      <c r="Y93" s="690" t="n"/>
      <c r="Z93" s="574">
        <f>IFERROR((H93+P93+V93)/3, "")</f>
        <v/>
      </c>
      <c r="AA93" s="673" t="n"/>
      <c r="AB93" s="673" t="n"/>
      <c r="AC93" s="329">
        <f t="array" ref="AC93">IF(Z93="", "", _xlfn.IFS(Z93&gt;=90, "Advancing", Z93&gt;=80, "Benchmarking", Z93&gt;=75, "Connecting", Z93&gt;=65, "Developing", Z93&gt;=0, "Emerging"))</f>
        <v/>
      </c>
      <c r="AD93" s="302" t="n"/>
      <c r="AE93" s="292" t="n"/>
      <c r="AF93" s="291" t="n"/>
      <c r="AG93" s="291" t="n"/>
      <c r="AH93" s="291" t="n"/>
      <c r="AI93" s="293" t="n"/>
      <c r="AK93" s="292" t="n"/>
      <c r="AM93" s="296" t="n"/>
    </row>
    <row r="94" ht="18" customFormat="1" customHeight="1" s="294">
      <c r="A94" s="22" t="n">
        <v>31</v>
      </c>
      <c r="B94" s="552">
        <f>'INPUT DATA'!O41</f>
        <v/>
      </c>
      <c r="C94" s="553" t="n"/>
      <c r="D94" s="553" t="n"/>
      <c r="E94" s="554" t="n"/>
      <c r="F94" s="62" t="n"/>
      <c r="G94" s="63" t="n"/>
      <c r="H94" s="299">
        <f>'TERM 1'!AA94</f>
        <v/>
      </c>
      <c r="I94" s="63" t="n"/>
      <c r="J94" s="63" t="n"/>
      <c r="K94" s="63" t="n"/>
      <c r="L94" s="63" t="n"/>
      <c r="M94" s="64" t="n"/>
      <c r="N94" s="62" t="n"/>
      <c r="O94" s="63" t="n"/>
      <c r="P94" s="300">
        <f>'TERM 2'!AA94</f>
        <v/>
      </c>
      <c r="Q94" s="63" t="n"/>
      <c r="R94" s="63" t="n"/>
      <c r="S94" s="63" t="n"/>
      <c r="T94" s="63" t="n"/>
      <c r="U94" s="64" t="n"/>
      <c r="V94" s="694">
        <f>'TERM 3'!AA94</f>
        <v/>
      </c>
      <c r="W94" s="673" t="n"/>
      <c r="X94" s="673" t="n"/>
      <c r="Y94" s="690" t="n"/>
      <c r="Z94" s="574">
        <f>IFERROR((H94+P94+V94)/3, "")</f>
        <v/>
      </c>
      <c r="AA94" s="673" t="n"/>
      <c r="AB94" s="673" t="n"/>
      <c r="AC94" s="329">
        <f t="array" ref="AC94">IF(Z94="", "", _xlfn.IFS(Z94&gt;=90, "Advancing", Z94&gt;=80, "Benchmarking", Z94&gt;=75, "Connecting", Z94&gt;=65, "Developing", Z94&gt;=0, "Emerging"))</f>
        <v/>
      </c>
      <c r="AD94" s="302" t="n"/>
      <c r="AE94" s="292" t="n"/>
      <c r="AF94" s="291" t="n"/>
      <c r="AG94" s="291" t="n"/>
      <c r="AH94" s="291" t="n"/>
      <c r="AI94" s="293" t="n"/>
      <c r="AK94" s="292" t="n"/>
      <c r="AM94" s="296" t="n"/>
    </row>
    <row r="95" ht="18" customFormat="1" customHeight="1" s="294">
      <c r="A95" s="22" t="n">
        <v>32</v>
      </c>
      <c r="B95" s="552">
        <f>'INPUT DATA'!O42</f>
        <v/>
      </c>
      <c r="C95" s="553" t="n"/>
      <c r="D95" s="553" t="n"/>
      <c r="E95" s="554" t="n"/>
      <c r="F95" s="62" t="n"/>
      <c r="G95" s="63" t="n"/>
      <c r="H95" s="299">
        <f>'TERM 1'!AA95</f>
        <v/>
      </c>
      <c r="I95" s="63" t="n"/>
      <c r="J95" s="63" t="n"/>
      <c r="K95" s="63" t="n"/>
      <c r="L95" s="63" t="n"/>
      <c r="M95" s="64" t="n"/>
      <c r="N95" s="62" t="n"/>
      <c r="O95" s="63" t="n"/>
      <c r="P95" s="300">
        <f>'TERM 2'!AA95</f>
        <v/>
      </c>
      <c r="Q95" s="63" t="n"/>
      <c r="R95" s="63" t="n"/>
      <c r="S95" s="63" t="n"/>
      <c r="T95" s="63" t="n"/>
      <c r="U95" s="64" t="n"/>
      <c r="V95" s="694">
        <f>'TERM 3'!AA95</f>
        <v/>
      </c>
      <c r="W95" s="673" t="n"/>
      <c r="X95" s="673" t="n"/>
      <c r="Y95" s="690" t="n"/>
      <c r="Z95" s="574">
        <f>IFERROR((H95+P95+V95)/3, "")</f>
        <v/>
      </c>
      <c r="AA95" s="673" t="n"/>
      <c r="AB95" s="673" t="n"/>
      <c r="AC95" s="329">
        <f t="array" ref="AC95">IF(Z95="", "", _xlfn.IFS(Z95&gt;=90, "Advancing", Z95&gt;=80, "Benchmarking", Z95&gt;=75, "Connecting", Z95&gt;=65, "Developing", Z95&gt;=0, "Emerging"))</f>
        <v/>
      </c>
      <c r="AD95" s="302" t="n"/>
      <c r="AE95" s="292" t="n"/>
      <c r="AF95" s="291" t="n"/>
      <c r="AG95" s="291" t="n"/>
      <c r="AH95" s="291" t="n"/>
      <c r="AI95" s="293" t="n"/>
      <c r="AK95" s="292" t="n"/>
      <c r="AM95" s="296" t="n"/>
    </row>
    <row r="96" ht="18" customFormat="1" customHeight="1" s="294">
      <c r="A96" s="22" t="n">
        <v>33</v>
      </c>
      <c r="B96" s="552">
        <f>'INPUT DATA'!O43</f>
        <v/>
      </c>
      <c r="C96" s="553" t="n"/>
      <c r="D96" s="553" t="n"/>
      <c r="E96" s="554" t="n"/>
      <c r="F96" s="62" t="n"/>
      <c r="G96" s="63" t="n"/>
      <c r="H96" s="299">
        <f>'TERM 1'!AA96</f>
        <v/>
      </c>
      <c r="I96" s="63" t="n"/>
      <c r="J96" s="63" t="n"/>
      <c r="K96" s="63" t="n"/>
      <c r="L96" s="63" t="n"/>
      <c r="M96" s="64" t="n"/>
      <c r="N96" s="62" t="n"/>
      <c r="O96" s="63" t="n"/>
      <c r="P96" s="300">
        <f>'TERM 2'!AA96</f>
        <v/>
      </c>
      <c r="Q96" s="63" t="n"/>
      <c r="R96" s="63" t="n"/>
      <c r="S96" s="63" t="n"/>
      <c r="T96" s="63" t="n"/>
      <c r="U96" s="64" t="n"/>
      <c r="V96" s="694">
        <f>'TERM 3'!AA96</f>
        <v/>
      </c>
      <c r="W96" s="673" t="n"/>
      <c r="X96" s="673" t="n"/>
      <c r="Y96" s="690" t="n"/>
      <c r="Z96" s="574">
        <f>IFERROR((H96+P96+V96)/3, "")</f>
        <v/>
      </c>
      <c r="AA96" s="673" t="n"/>
      <c r="AB96" s="673" t="n"/>
      <c r="AC96" s="329">
        <f t="array" ref="AC96">IF(Z96="", "", _xlfn.IFS(Z96&gt;=90, "Advancing", Z96&gt;=80, "Benchmarking", Z96&gt;=75, "Connecting", Z96&gt;=65, "Developing", Z96&gt;=0, "Emerging"))</f>
        <v/>
      </c>
      <c r="AD96" s="302" t="n"/>
      <c r="AE96" s="292" t="n"/>
      <c r="AF96" s="291" t="n"/>
      <c r="AG96" s="291" t="n"/>
      <c r="AH96" s="291" t="n"/>
      <c r="AI96" s="293" t="n"/>
      <c r="AK96" s="292" t="n"/>
      <c r="AM96" s="296" t="n"/>
    </row>
    <row r="97" ht="18" customFormat="1" customHeight="1" s="294">
      <c r="A97" s="22" t="n">
        <v>34</v>
      </c>
      <c r="B97" s="552">
        <f>'INPUT DATA'!O44</f>
        <v/>
      </c>
      <c r="C97" s="553" t="n"/>
      <c r="D97" s="553" t="n"/>
      <c r="E97" s="554" t="n"/>
      <c r="F97" s="62" t="n"/>
      <c r="G97" s="63" t="n"/>
      <c r="H97" s="299">
        <f>'TERM 1'!AA97</f>
        <v/>
      </c>
      <c r="I97" s="63" t="n"/>
      <c r="J97" s="63" t="n"/>
      <c r="K97" s="63" t="n"/>
      <c r="L97" s="63" t="n"/>
      <c r="M97" s="64" t="n"/>
      <c r="N97" s="62" t="n"/>
      <c r="O97" s="63" t="n"/>
      <c r="P97" s="300">
        <f>'TERM 2'!AA97</f>
        <v/>
      </c>
      <c r="Q97" s="63" t="n"/>
      <c r="R97" s="63" t="n"/>
      <c r="S97" s="63" t="n"/>
      <c r="T97" s="63" t="n"/>
      <c r="U97" s="64" t="n"/>
      <c r="V97" s="694">
        <f>'TERM 3'!AA97</f>
        <v/>
      </c>
      <c r="W97" s="673" t="n"/>
      <c r="X97" s="673" t="n"/>
      <c r="Y97" s="690" t="n"/>
      <c r="Z97" s="574">
        <f>IFERROR((H97+P97+V97)/3, "")</f>
        <v/>
      </c>
      <c r="AA97" s="673" t="n"/>
      <c r="AB97" s="673" t="n"/>
      <c r="AC97" s="329">
        <f t="array" ref="AC97">IF(Z97="", "", _xlfn.IFS(Z97&gt;=90, "Advancing", Z97&gt;=80, "Benchmarking", Z97&gt;=75, "Connecting", Z97&gt;=65, "Developing", Z97&gt;=0, "Emerging"))</f>
        <v/>
      </c>
      <c r="AD97" s="302" t="n"/>
      <c r="AE97" s="292" t="n"/>
      <c r="AF97" s="291" t="n"/>
      <c r="AG97" s="291" t="n"/>
      <c r="AH97" s="291" t="n"/>
      <c r="AI97" s="293" t="n"/>
      <c r="AK97" s="292" t="n"/>
      <c r="AM97" s="296" t="n"/>
    </row>
    <row r="98" ht="18" customFormat="1" customHeight="1" s="294">
      <c r="A98" s="22" t="n">
        <v>35</v>
      </c>
      <c r="B98" s="552">
        <f>'INPUT DATA'!O45</f>
        <v/>
      </c>
      <c r="C98" s="553" t="n"/>
      <c r="D98" s="553" t="n"/>
      <c r="E98" s="554" t="n"/>
      <c r="F98" s="62" t="n"/>
      <c r="G98" s="63" t="n"/>
      <c r="H98" s="299">
        <f>'TERM 1'!AA98</f>
        <v/>
      </c>
      <c r="I98" s="63" t="n"/>
      <c r="J98" s="63" t="n"/>
      <c r="K98" s="63" t="n"/>
      <c r="L98" s="63" t="n"/>
      <c r="M98" s="64" t="n"/>
      <c r="N98" s="62" t="n"/>
      <c r="O98" s="63" t="n"/>
      <c r="P98" s="300">
        <f>'TERM 2'!AA98</f>
        <v/>
      </c>
      <c r="Q98" s="63" t="n"/>
      <c r="R98" s="63" t="n"/>
      <c r="S98" s="63" t="n"/>
      <c r="T98" s="63" t="n"/>
      <c r="U98" s="64" t="n"/>
      <c r="V98" s="694">
        <f>'TERM 3'!AA98</f>
        <v/>
      </c>
      <c r="W98" s="673" t="n"/>
      <c r="X98" s="673" t="n"/>
      <c r="Y98" s="690" t="n"/>
      <c r="Z98" s="574">
        <f>IFERROR((H98+P98+V98)/3, "")</f>
        <v/>
      </c>
      <c r="AA98" s="673" t="n"/>
      <c r="AB98" s="673" t="n"/>
      <c r="AC98" s="329">
        <f t="array" ref="AC98">IF(Z98="", "", _xlfn.IFS(Z98&gt;=90, "Advancing", Z98&gt;=80, "Benchmarking", Z98&gt;=75, "Connecting", Z98&gt;=65, "Developing", Z98&gt;=0, "Emerging"))</f>
        <v/>
      </c>
      <c r="AD98" s="302" t="n"/>
      <c r="AE98" s="292" t="n"/>
      <c r="AF98" s="291" t="n"/>
      <c r="AG98" s="291" t="n"/>
      <c r="AH98" s="291" t="n"/>
      <c r="AI98" s="293" t="n"/>
      <c r="AK98" s="292" t="n"/>
      <c r="AM98" s="296" t="n"/>
    </row>
    <row r="99" ht="18" customFormat="1" customHeight="1" s="294">
      <c r="A99" s="22" t="n">
        <v>36</v>
      </c>
      <c r="B99" s="552">
        <f>'INPUT DATA'!O46</f>
        <v/>
      </c>
      <c r="C99" s="553" t="n"/>
      <c r="D99" s="553" t="n"/>
      <c r="E99" s="554" t="n"/>
      <c r="F99" s="62" t="n"/>
      <c r="G99" s="63" t="n"/>
      <c r="H99" s="299">
        <f>'TERM 1'!AA99</f>
        <v/>
      </c>
      <c r="I99" s="63" t="n"/>
      <c r="J99" s="63" t="n"/>
      <c r="K99" s="63" t="n"/>
      <c r="L99" s="63" t="n"/>
      <c r="M99" s="64" t="n"/>
      <c r="N99" s="62" t="n"/>
      <c r="O99" s="63" t="n"/>
      <c r="P99" s="300">
        <f>'TERM 2'!AA99</f>
        <v/>
      </c>
      <c r="Q99" s="63" t="n"/>
      <c r="R99" s="63" t="n"/>
      <c r="S99" s="63" t="n"/>
      <c r="T99" s="63" t="n"/>
      <c r="U99" s="64" t="n"/>
      <c r="V99" s="694">
        <f>'TERM 3'!AA99</f>
        <v/>
      </c>
      <c r="W99" s="673" t="n"/>
      <c r="X99" s="673" t="n"/>
      <c r="Y99" s="690" t="n"/>
      <c r="Z99" s="574">
        <f>IFERROR((H99+P99+V99)/3, "")</f>
        <v/>
      </c>
      <c r="AA99" s="673" t="n"/>
      <c r="AB99" s="673" t="n"/>
      <c r="AC99" s="329">
        <f t="array" ref="AC99">IF(Z99="", "", _xlfn.IFS(Z99&gt;=90, "Advancing", Z99&gt;=80, "Benchmarking", Z99&gt;=75, "Connecting", Z99&gt;=65, "Developing", Z99&gt;=0, "Emerging"))</f>
        <v/>
      </c>
      <c r="AD99" s="302" t="n"/>
      <c r="AE99" s="292" t="n"/>
      <c r="AF99" s="291" t="n"/>
      <c r="AG99" s="291" t="n"/>
      <c r="AH99" s="291" t="n"/>
      <c r="AI99" s="293" t="n"/>
      <c r="AK99" s="292" t="n"/>
      <c r="AM99" s="296" t="n"/>
    </row>
    <row r="100" ht="18" customFormat="1" customHeight="1" s="294">
      <c r="A100" s="22" t="n">
        <v>37</v>
      </c>
      <c r="B100" s="552">
        <f>'INPUT DATA'!O47</f>
        <v/>
      </c>
      <c r="C100" s="553" t="n"/>
      <c r="D100" s="553" t="n"/>
      <c r="E100" s="554" t="n"/>
      <c r="F100" s="62" t="n"/>
      <c r="G100" s="63" t="n"/>
      <c r="H100" s="299">
        <f>'TERM 1'!AA100</f>
        <v/>
      </c>
      <c r="I100" s="63" t="n"/>
      <c r="J100" s="63" t="n"/>
      <c r="K100" s="63" t="n"/>
      <c r="L100" s="63" t="n"/>
      <c r="M100" s="64" t="n"/>
      <c r="N100" s="62" t="n"/>
      <c r="O100" s="63" t="n"/>
      <c r="P100" s="300">
        <f>'TERM 2'!AA100</f>
        <v/>
      </c>
      <c r="Q100" s="63" t="n"/>
      <c r="R100" s="63" t="n"/>
      <c r="S100" s="63" t="n"/>
      <c r="T100" s="63" t="n"/>
      <c r="U100" s="64" t="n"/>
      <c r="V100" s="694">
        <f>'TERM 3'!AA100</f>
        <v/>
      </c>
      <c r="W100" s="673" t="n"/>
      <c r="X100" s="673" t="n"/>
      <c r="Y100" s="690" t="n"/>
      <c r="Z100" s="574">
        <f>IFERROR((H100+P100+V100)/3, "")</f>
        <v/>
      </c>
      <c r="AA100" s="673" t="n"/>
      <c r="AB100" s="673" t="n"/>
      <c r="AC100" s="329">
        <f t="array" ref="AC100">IF(Z100="", "", _xlfn.IFS(Z100&gt;=90, "Advancing", Z100&gt;=80, "Benchmarking", Z100&gt;=75, "Connecting", Z100&gt;=65, "Developing", Z100&gt;=0, "Emerging"))</f>
        <v/>
      </c>
      <c r="AD100" s="302" t="n"/>
      <c r="AE100" s="292" t="n"/>
      <c r="AF100" s="291" t="n"/>
      <c r="AG100" s="291" t="n"/>
      <c r="AH100" s="291" t="n"/>
      <c r="AI100" s="293" t="n"/>
      <c r="AK100" s="292" t="n"/>
      <c r="AM100" s="296" t="n"/>
    </row>
    <row r="101" ht="18" customFormat="1" customHeight="1" s="294">
      <c r="A101" s="22" t="n">
        <v>38</v>
      </c>
      <c r="B101" s="552">
        <f>'INPUT DATA'!O48</f>
        <v/>
      </c>
      <c r="C101" s="553" t="n"/>
      <c r="D101" s="553" t="n"/>
      <c r="E101" s="554" t="n"/>
      <c r="F101" s="62" t="n"/>
      <c r="G101" s="63" t="n"/>
      <c r="H101" s="299">
        <f>'TERM 1'!AA101</f>
        <v/>
      </c>
      <c r="I101" s="63" t="n"/>
      <c r="J101" s="63" t="n"/>
      <c r="K101" s="63" t="n"/>
      <c r="L101" s="63" t="n"/>
      <c r="M101" s="64" t="n"/>
      <c r="N101" s="62" t="n"/>
      <c r="O101" s="63" t="n"/>
      <c r="P101" s="300">
        <f>'TERM 2'!AA101</f>
        <v/>
      </c>
      <c r="Q101" s="63" t="n"/>
      <c r="R101" s="63" t="n"/>
      <c r="S101" s="63" t="n"/>
      <c r="T101" s="63" t="n"/>
      <c r="U101" s="64" t="n"/>
      <c r="V101" s="694">
        <f>'TERM 3'!AA101</f>
        <v/>
      </c>
      <c r="W101" s="673" t="n"/>
      <c r="X101" s="673" t="n"/>
      <c r="Y101" s="690" t="n"/>
      <c r="Z101" s="574">
        <f>IFERROR((H101+P101+V101)/3, "")</f>
        <v/>
      </c>
      <c r="AA101" s="673" t="n"/>
      <c r="AB101" s="673" t="n"/>
      <c r="AC101" s="329">
        <f t="array" ref="AC101">IF(Z101="", "", _xlfn.IFS(Z101&gt;=90, "Advancing", Z101&gt;=80, "Benchmarking", Z101&gt;=75, "Connecting", Z101&gt;=65, "Developing", Z101&gt;=0, "Emerging"))</f>
        <v/>
      </c>
      <c r="AD101" s="302" t="n"/>
      <c r="AE101" s="292" t="n"/>
      <c r="AF101" s="291" t="n"/>
      <c r="AG101" s="291" t="n"/>
      <c r="AH101" s="291" t="n"/>
      <c r="AI101" s="293" t="n"/>
      <c r="AK101" s="292" t="n"/>
      <c r="AM101" s="296" t="n"/>
    </row>
    <row r="102" ht="18" customFormat="1" customHeight="1" s="294">
      <c r="A102" s="22" t="n">
        <v>39</v>
      </c>
      <c r="B102" s="552">
        <f>'INPUT DATA'!O49</f>
        <v/>
      </c>
      <c r="C102" s="553" t="n"/>
      <c r="D102" s="553" t="n"/>
      <c r="E102" s="554" t="n"/>
      <c r="F102" s="62" t="n"/>
      <c r="G102" s="63" t="n"/>
      <c r="H102" s="299">
        <f>'TERM 1'!AA102</f>
        <v/>
      </c>
      <c r="I102" s="63" t="n"/>
      <c r="J102" s="63" t="n"/>
      <c r="K102" s="63" t="n"/>
      <c r="L102" s="63" t="n"/>
      <c r="M102" s="64" t="n"/>
      <c r="N102" s="62" t="n"/>
      <c r="O102" s="63" t="n"/>
      <c r="P102" s="300">
        <f>'TERM 2'!AA102</f>
        <v/>
      </c>
      <c r="Q102" s="63" t="n"/>
      <c r="R102" s="63" t="n"/>
      <c r="S102" s="63" t="n"/>
      <c r="T102" s="63" t="n"/>
      <c r="U102" s="64" t="n"/>
      <c r="V102" s="694">
        <f>'TERM 3'!AA102</f>
        <v/>
      </c>
      <c r="W102" s="673" t="n"/>
      <c r="X102" s="673" t="n"/>
      <c r="Y102" s="690" t="n"/>
      <c r="Z102" s="574">
        <f>IFERROR((H102+P102+V102)/3, "")</f>
        <v/>
      </c>
      <c r="AA102" s="673" t="n"/>
      <c r="AB102" s="673" t="n"/>
      <c r="AC102" s="329">
        <f t="array" ref="AC102">IF(Z102="", "", _xlfn.IFS(Z102&gt;=90, "Advancing", Z102&gt;=80, "Benchmarking", Z102&gt;=75, "Connecting", Z102&gt;=65, "Developing", Z102&gt;=0, "Emerging"))</f>
        <v/>
      </c>
      <c r="AD102" s="302" t="n"/>
      <c r="AE102" s="292" t="n"/>
      <c r="AF102" s="291" t="n"/>
      <c r="AG102" s="291" t="n"/>
      <c r="AH102" s="291" t="n"/>
      <c r="AI102" s="293" t="n"/>
      <c r="AK102" s="292" t="n"/>
      <c r="AM102" s="296" t="n"/>
    </row>
    <row r="103" ht="18" customFormat="1" customHeight="1" s="294">
      <c r="A103" s="22" t="n">
        <v>40</v>
      </c>
      <c r="B103" s="552">
        <f>'INPUT DATA'!O50</f>
        <v/>
      </c>
      <c r="C103" s="553" t="n"/>
      <c r="D103" s="553" t="n"/>
      <c r="E103" s="554" t="n"/>
      <c r="F103" s="62" t="n"/>
      <c r="G103" s="63" t="n"/>
      <c r="H103" s="299">
        <f>'TERM 1'!AA103</f>
        <v/>
      </c>
      <c r="I103" s="63" t="n"/>
      <c r="J103" s="63" t="n"/>
      <c r="K103" s="63" t="n"/>
      <c r="L103" s="63" t="n"/>
      <c r="M103" s="64" t="n"/>
      <c r="N103" s="62" t="n"/>
      <c r="O103" s="63" t="n"/>
      <c r="P103" s="300">
        <f>'TERM 2'!AA103</f>
        <v/>
      </c>
      <c r="Q103" s="63" t="n"/>
      <c r="R103" s="63" t="n"/>
      <c r="S103" s="63" t="n"/>
      <c r="T103" s="63" t="n"/>
      <c r="U103" s="64" t="n"/>
      <c r="V103" s="694">
        <f>'TERM 3'!AA103</f>
        <v/>
      </c>
      <c r="W103" s="673" t="n"/>
      <c r="X103" s="673" t="n"/>
      <c r="Y103" s="690" t="n"/>
      <c r="Z103" s="574">
        <f>IFERROR((H103+P103+V103)/3, "")</f>
        <v/>
      </c>
      <c r="AA103" s="673" t="n"/>
      <c r="AB103" s="673" t="n"/>
      <c r="AC103" s="329">
        <f t="array" ref="AC103">IF(Z103="", "", _xlfn.IFS(Z103&gt;=90, "Advancing", Z103&gt;=80, "Benchmarking", Z103&gt;=75, "Connecting", Z103&gt;=65, "Developing", Z103&gt;=0, "Emerging"))</f>
        <v/>
      </c>
      <c r="AD103" s="302" t="n"/>
      <c r="AE103" s="292" t="n"/>
      <c r="AF103" s="291" t="n"/>
      <c r="AG103" s="291" t="n"/>
      <c r="AH103" s="291" t="n"/>
      <c r="AI103" s="293" t="n"/>
      <c r="AK103" s="292" t="n"/>
      <c r="AM103" s="296" t="n"/>
    </row>
    <row r="104" ht="18" customFormat="1" customHeight="1" s="294">
      <c r="A104" s="22" t="n">
        <v>41</v>
      </c>
      <c r="B104" s="552">
        <f>'INPUT DATA'!O51</f>
        <v/>
      </c>
      <c r="C104" s="553" t="n"/>
      <c r="D104" s="553" t="n"/>
      <c r="E104" s="554" t="n"/>
      <c r="F104" s="62" t="n"/>
      <c r="G104" s="63" t="n"/>
      <c r="H104" s="299">
        <f>'TERM 1'!AA104</f>
        <v/>
      </c>
      <c r="I104" s="63" t="n"/>
      <c r="J104" s="63" t="n"/>
      <c r="K104" s="63" t="n"/>
      <c r="L104" s="63" t="n"/>
      <c r="M104" s="64" t="n"/>
      <c r="N104" s="62" t="n"/>
      <c r="O104" s="63" t="n"/>
      <c r="P104" s="300">
        <f>'TERM 2'!AA104</f>
        <v/>
      </c>
      <c r="Q104" s="63" t="n"/>
      <c r="R104" s="63" t="n"/>
      <c r="S104" s="63" t="n"/>
      <c r="T104" s="63" t="n"/>
      <c r="U104" s="64" t="n"/>
      <c r="V104" s="694">
        <f>'TERM 3'!AA104</f>
        <v/>
      </c>
      <c r="W104" s="673" t="n"/>
      <c r="X104" s="673" t="n"/>
      <c r="Y104" s="690" t="n"/>
      <c r="Z104" s="574">
        <f>IFERROR((H104+P104+V104)/3, "")</f>
        <v/>
      </c>
      <c r="AA104" s="673" t="n"/>
      <c r="AB104" s="673" t="n"/>
      <c r="AC104" s="329">
        <f t="array" ref="AC104">IF(Z104="", "", _xlfn.IFS(Z104&gt;=90, "Advancing", Z104&gt;=80, "Benchmarking", Z104&gt;=75, "Connecting", Z104&gt;=65, "Developing", Z104&gt;=0, "Emerging"))</f>
        <v/>
      </c>
      <c r="AD104" s="302" t="n"/>
      <c r="AE104" s="292" t="n"/>
      <c r="AF104" s="291" t="n"/>
      <c r="AG104" s="291" t="n"/>
      <c r="AH104" s="291" t="n"/>
      <c r="AI104" s="293" t="n"/>
      <c r="AK104" s="292" t="n"/>
      <c r="AM104" s="296" t="n"/>
    </row>
    <row r="105" ht="18" customFormat="1" customHeight="1" s="294">
      <c r="A105" s="22" t="n">
        <v>42</v>
      </c>
      <c r="B105" s="552">
        <f>'INPUT DATA'!O52</f>
        <v/>
      </c>
      <c r="C105" s="553" t="n"/>
      <c r="D105" s="553" t="n"/>
      <c r="E105" s="554" t="n"/>
      <c r="F105" s="62" t="n"/>
      <c r="G105" s="63" t="n"/>
      <c r="H105" s="299">
        <f>'TERM 1'!AA105</f>
        <v/>
      </c>
      <c r="I105" s="63" t="n"/>
      <c r="J105" s="63" t="n"/>
      <c r="K105" s="63" t="n"/>
      <c r="L105" s="63" t="n"/>
      <c r="M105" s="64" t="n"/>
      <c r="N105" s="62" t="n"/>
      <c r="O105" s="63" t="n"/>
      <c r="P105" s="300">
        <f>'TERM 2'!AA105</f>
        <v/>
      </c>
      <c r="Q105" s="63" t="n"/>
      <c r="R105" s="63" t="n"/>
      <c r="S105" s="63" t="n"/>
      <c r="T105" s="63" t="n"/>
      <c r="U105" s="64" t="n"/>
      <c r="V105" s="694">
        <f>'TERM 3'!AA105</f>
        <v/>
      </c>
      <c r="W105" s="673" t="n"/>
      <c r="X105" s="673" t="n"/>
      <c r="Y105" s="690" t="n"/>
      <c r="Z105" s="574">
        <f>IFERROR((H105+P105+V105)/3, "")</f>
        <v/>
      </c>
      <c r="AA105" s="673" t="n"/>
      <c r="AB105" s="673" t="n"/>
      <c r="AC105" s="329">
        <f t="array" ref="AC105">IF(Z105="", "", _xlfn.IFS(Z105&gt;=90, "Advancing", Z105&gt;=80, "Benchmarking", Z105&gt;=75, "Connecting", Z105&gt;=65, "Developing", Z105&gt;=0, "Emerging"))</f>
        <v/>
      </c>
      <c r="AD105" s="302" t="n"/>
      <c r="AE105" s="292" t="n"/>
      <c r="AF105" s="291" t="n"/>
      <c r="AG105" s="291" t="n"/>
      <c r="AH105" s="291" t="n"/>
      <c r="AI105" s="293" t="n"/>
      <c r="AK105" s="292" t="n"/>
      <c r="AM105" s="296" t="n"/>
    </row>
    <row r="106" ht="18" customFormat="1" customHeight="1" s="294">
      <c r="A106" s="22" t="n">
        <v>43</v>
      </c>
      <c r="B106" s="552">
        <f>'INPUT DATA'!O53</f>
        <v/>
      </c>
      <c r="C106" s="553" t="n"/>
      <c r="D106" s="553" t="n"/>
      <c r="E106" s="554" t="n"/>
      <c r="F106" s="62" t="n"/>
      <c r="G106" s="63" t="n"/>
      <c r="H106" s="299">
        <f>'TERM 1'!AA106</f>
        <v/>
      </c>
      <c r="I106" s="63" t="n"/>
      <c r="J106" s="63" t="n"/>
      <c r="K106" s="63" t="n"/>
      <c r="L106" s="63" t="n"/>
      <c r="M106" s="64" t="n"/>
      <c r="N106" s="62" t="n"/>
      <c r="O106" s="63" t="n"/>
      <c r="P106" s="300">
        <f>'TERM 2'!AA106</f>
        <v/>
      </c>
      <c r="Q106" s="63" t="n"/>
      <c r="R106" s="63" t="n"/>
      <c r="S106" s="63" t="n"/>
      <c r="T106" s="63" t="n"/>
      <c r="U106" s="64" t="n"/>
      <c r="V106" s="694">
        <f>'TERM 3'!AA106</f>
        <v/>
      </c>
      <c r="W106" s="673" t="n"/>
      <c r="X106" s="673" t="n"/>
      <c r="Y106" s="690" t="n"/>
      <c r="Z106" s="574">
        <f>IFERROR((H106+P106+V106)/3, "")</f>
        <v/>
      </c>
      <c r="AA106" s="673" t="n"/>
      <c r="AB106" s="673" t="n"/>
      <c r="AC106" s="329">
        <f t="array" ref="AC106">IF(Z106="", "", _xlfn.IFS(Z106&gt;=90, "Advancing", Z106&gt;=80, "Benchmarking", Z106&gt;=75, "Connecting", Z106&gt;=65, "Developing", Z106&gt;=0, "Emerging"))</f>
        <v/>
      </c>
      <c r="AD106" s="302" t="n"/>
      <c r="AE106" s="292" t="n"/>
      <c r="AF106" s="291" t="n"/>
      <c r="AG106" s="291" t="n"/>
      <c r="AH106" s="291" t="n"/>
      <c r="AI106" s="293" t="n"/>
      <c r="AK106" s="292" t="n"/>
      <c r="AM106" s="296" t="n"/>
    </row>
    <row r="107" ht="18" customFormat="1" customHeight="1" s="294">
      <c r="A107" s="22" t="n">
        <v>44</v>
      </c>
      <c r="B107" s="552">
        <f>'INPUT DATA'!O54</f>
        <v/>
      </c>
      <c r="C107" s="553" t="n"/>
      <c r="D107" s="553" t="n"/>
      <c r="E107" s="554" t="n"/>
      <c r="F107" s="62" t="n"/>
      <c r="G107" s="63" t="n"/>
      <c r="H107" s="299">
        <f>'TERM 1'!AA107</f>
        <v/>
      </c>
      <c r="I107" s="63" t="n"/>
      <c r="J107" s="63" t="n"/>
      <c r="K107" s="63" t="n"/>
      <c r="L107" s="63" t="n"/>
      <c r="M107" s="64" t="n"/>
      <c r="N107" s="62" t="n"/>
      <c r="O107" s="63" t="n"/>
      <c r="P107" s="300">
        <f>'TERM 2'!AA107</f>
        <v/>
      </c>
      <c r="Q107" s="63" t="n"/>
      <c r="R107" s="63" t="n"/>
      <c r="S107" s="63" t="n"/>
      <c r="T107" s="63" t="n"/>
      <c r="U107" s="64" t="n"/>
      <c r="V107" s="694">
        <f>'TERM 3'!AA107</f>
        <v/>
      </c>
      <c r="W107" s="673" t="n"/>
      <c r="X107" s="673" t="n"/>
      <c r="Y107" s="690" t="n"/>
      <c r="Z107" s="574">
        <f>IFERROR((H107+P107+V107)/3, "")</f>
        <v/>
      </c>
      <c r="AA107" s="673" t="n"/>
      <c r="AB107" s="673" t="n"/>
      <c r="AC107" s="329">
        <f t="array" ref="AC107">IF(Z107="", "", _xlfn.IFS(Z107&gt;=90, "Advancing", Z107&gt;=80, "Benchmarking", Z107&gt;=75, "Connecting", Z107&gt;=65, "Developing", Z107&gt;=0, "Emerging"))</f>
        <v/>
      </c>
      <c r="AD107" s="302" t="n"/>
      <c r="AE107" s="292" t="n"/>
      <c r="AF107" s="291" t="n"/>
      <c r="AG107" s="291" t="n"/>
      <c r="AH107" s="291" t="n"/>
      <c r="AI107" s="293" t="n"/>
      <c r="AK107" s="292" t="n"/>
      <c r="AM107" s="296" t="n"/>
    </row>
    <row r="108" ht="18" customFormat="1" customHeight="1" s="294">
      <c r="A108" s="22" t="n">
        <v>45</v>
      </c>
      <c r="B108" s="552">
        <f>'INPUT DATA'!O55</f>
        <v/>
      </c>
      <c r="C108" s="553" t="n"/>
      <c r="D108" s="553" t="n"/>
      <c r="E108" s="554" t="n"/>
      <c r="F108" s="62" t="n"/>
      <c r="G108" s="63" t="n"/>
      <c r="H108" s="299">
        <f>'TERM 1'!AA108</f>
        <v/>
      </c>
      <c r="I108" s="63" t="n"/>
      <c r="J108" s="63" t="n"/>
      <c r="K108" s="63" t="n"/>
      <c r="L108" s="63" t="n"/>
      <c r="M108" s="64" t="n"/>
      <c r="N108" s="62" t="n"/>
      <c r="O108" s="63" t="n"/>
      <c r="P108" s="300">
        <f>'TERM 2'!AA108</f>
        <v/>
      </c>
      <c r="Q108" s="63" t="n"/>
      <c r="R108" s="63" t="n"/>
      <c r="S108" s="63" t="n"/>
      <c r="T108" s="63" t="n"/>
      <c r="U108" s="64" t="n"/>
      <c r="V108" s="694">
        <f>'TERM 3'!AA108</f>
        <v/>
      </c>
      <c r="W108" s="673" t="n"/>
      <c r="X108" s="673" t="n"/>
      <c r="Y108" s="690" t="n"/>
      <c r="Z108" s="574">
        <f>IFERROR((H108+P108+V108)/3, "")</f>
        <v/>
      </c>
      <c r="AA108" s="673" t="n"/>
      <c r="AB108" s="673" t="n"/>
      <c r="AC108" s="329">
        <f t="array" ref="AC108">IF(Z108="", "", _xlfn.IFS(Z108&gt;=90, "Advancing", Z108&gt;=80, "Benchmarking", Z108&gt;=75, "Connecting", Z108&gt;=65, "Developing", Z108&gt;=0, "Emerging"))</f>
        <v/>
      </c>
      <c r="AD108" s="302" t="n"/>
      <c r="AE108" s="292" t="n"/>
      <c r="AF108" s="291" t="n"/>
      <c r="AG108" s="291" t="n"/>
      <c r="AH108" s="291" t="n"/>
      <c r="AI108" s="293" t="n"/>
      <c r="AK108" s="292" t="n"/>
      <c r="AM108" s="296" t="n"/>
    </row>
    <row r="109" ht="18" customFormat="1" customHeight="1" s="294">
      <c r="A109" s="22" t="n">
        <v>46</v>
      </c>
      <c r="B109" s="552">
        <f>'INPUT DATA'!O56</f>
        <v/>
      </c>
      <c r="C109" s="553" t="n"/>
      <c r="D109" s="553" t="n"/>
      <c r="E109" s="554" t="n"/>
      <c r="F109" s="62" t="n"/>
      <c r="G109" s="63" t="n"/>
      <c r="H109" s="299">
        <f>'TERM 1'!AA109</f>
        <v/>
      </c>
      <c r="I109" s="63" t="n"/>
      <c r="J109" s="63" t="n"/>
      <c r="K109" s="63" t="n"/>
      <c r="L109" s="63" t="n"/>
      <c r="M109" s="64" t="n"/>
      <c r="N109" s="62" t="n"/>
      <c r="O109" s="63" t="n"/>
      <c r="P109" s="300">
        <f>'TERM 2'!AA109</f>
        <v/>
      </c>
      <c r="Q109" s="63" t="n"/>
      <c r="R109" s="63" t="n"/>
      <c r="S109" s="63" t="n"/>
      <c r="T109" s="63" t="n"/>
      <c r="U109" s="64" t="n"/>
      <c r="V109" s="694">
        <f>'TERM 3'!AA109</f>
        <v/>
      </c>
      <c r="W109" s="673" t="n"/>
      <c r="X109" s="673" t="n"/>
      <c r="Y109" s="690" t="n"/>
      <c r="Z109" s="574">
        <f>IFERROR((H109+P109+V109)/3, "")</f>
        <v/>
      </c>
      <c r="AA109" s="673" t="n"/>
      <c r="AB109" s="673" t="n"/>
      <c r="AC109" s="329">
        <f t="array" ref="AC109">IF(Z109="", "", _xlfn.IFS(Z109&gt;=90, "Advancing", Z109&gt;=80, "Benchmarking", Z109&gt;=75, "Connecting", Z109&gt;=65, "Developing", Z109&gt;=0, "Emerging"))</f>
        <v/>
      </c>
      <c r="AD109" s="302" t="n"/>
      <c r="AE109" s="292" t="n"/>
      <c r="AF109" s="291" t="n"/>
      <c r="AG109" s="291" t="n"/>
      <c r="AH109" s="291" t="n"/>
      <c r="AI109" s="293" t="n"/>
      <c r="AK109" s="292" t="n"/>
      <c r="AM109" s="296" t="n"/>
    </row>
    <row r="110" ht="18" customFormat="1" customHeight="1" s="294">
      <c r="A110" s="22" t="n">
        <v>47</v>
      </c>
      <c r="B110" s="552">
        <f>'INPUT DATA'!O57</f>
        <v/>
      </c>
      <c r="C110" s="553" t="n"/>
      <c r="D110" s="553" t="n"/>
      <c r="E110" s="554" t="n"/>
      <c r="F110" s="62" t="n"/>
      <c r="G110" s="63" t="n"/>
      <c r="H110" s="299">
        <f>'TERM 1'!AA110</f>
        <v/>
      </c>
      <c r="I110" s="63" t="n"/>
      <c r="J110" s="63" t="n"/>
      <c r="K110" s="63" t="n"/>
      <c r="L110" s="63" t="n"/>
      <c r="M110" s="64" t="n"/>
      <c r="N110" s="62" t="n"/>
      <c r="O110" s="63" t="n"/>
      <c r="P110" s="300">
        <f>'TERM 2'!AA110</f>
        <v/>
      </c>
      <c r="Q110" s="63" t="n"/>
      <c r="R110" s="63" t="n"/>
      <c r="S110" s="63" t="n"/>
      <c r="T110" s="63" t="n"/>
      <c r="U110" s="64" t="n"/>
      <c r="V110" s="694">
        <f>'TERM 3'!AA110</f>
        <v/>
      </c>
      <c r="W110" s="673" t="n"/>
      <c r="X110" s="673" t="n"/>
      <c r="Y110" s="690" t="n"/>
      <c r="Z110" s="574">
        <f>IFERROR((H110+P110+V110)/3, "")</f>
        <v/>
      </c>
      <c r="AA110" s="673" t="n"/>
      <c r="AB110" s="673" t="n"/>
      <c r="AC110" s="329">
        <f t="array" ref="AC110">IF(Z110="", "", _xlfn.IFS(Z110&gt;=90, "Advancing", Z110&gt;=80, "Benchmarking", Z110&gt;=75, "Connecting", Z110&gt;=65, "Developing", Z110&gt;=0, "Emerging"))</f>
        <v/>
      </c>
      <c r="AD110" s="302" t="n"/>
      <c r="AE110" s="292" t="n"/>
      <c r="AF110" s="291" t="n"/>
      <c r="AG110" s="291" t="n"/>
      <c r="AH110" s="291" t="n"/>
      <c r="AI110" s="293" t="n"/>
      <c r="AK110" s="292" t="n"/>
      <c r="AM110" s="296" t="n"/>
    </row>
    <row r="111" ht="18" customFormat="1" customHeight="1" s="294">
      <c r="A111" s="22" t="n">
        <v>48</v>
      </c>
      <c r="B111" s="552">
        <f>'INPUT DATA'!O58</f>
        <v/>
      </c>
      <c r="C111" s="553" t="n"/>
      <c r="D111" s="553" t="n"/>
      <c r="E111" s="554" t="n"/>
      <c r="F111" s="62" t="n"/>
      <c r="G111" s="63" t="n"/>
      <c r="H111" s="299">
        <f>'TERM 1'!AA111</f>
        <v/>
      </c>
      <c r="I111" s="63" t="n"/>
      <c r="J111" s="63" t="n"/>
      <c r="K111" s="63" t="n"/>
      <c r="L111" s="63" t="n"/>
      <c r="M111" s="64" t="n"/>
      <c r="N111" s="62" t="n"/>
      <c r="O111" s="63" t="n"/>
      <c r="P111" s="300">
        <f>'TERM 2'!AA111</f>
        <v/>
      </c>
      <c r="Q111" s="63" t="n"/>
      <c r="R111" s="63" t="n"/>
      <c r="S111" s="63" t="n"/>
      <c r="T111" s="63" t="n"/>
      <c r="U111" s="64" t="n"/>
      <c r="V111" s="694">
        <f>'TERM 3'!AA111</f>
        <v/>
      </c>
      <c r="W111" s="673" t="n"/>
      <c r="X111" s="673" t="n"/>
      <c r="Y111" s="690" t="n"/>
      <c r="Z111" s="574">
        <f>IFERROR((H111+P111+V111)/3, "")</f>
        <v/>
      </c>
      <c r="AA111" s="673" t="n"/>
      <c r="AB111" s="673" t="n"/>
      <c r="AC111" s="329">
        <f t="array" ref="AC111">IF(Z111="", "", _xlfn.IFS(Z111&gt;=90, "Advancing", Z111&gt;=80, "Benchmarking", Z111&gt;=75, "Connecting", Z111&gt;=65, "Developing", Z111&gt;=0, "Emerging"))</f>
        <v/>
      </c>
      <c r="AD111" s="302" t="n"/>
      <c r="AE111" s="292" t="n"/>
      <c r="AF111" s="291" t="n"/>
      <c r="AG111" s="291" t="n"/>
      <c r="AH111" s="291" t="n"/>
      <c r="AI111" s="293" t="n"/>
      <c r="AK111" s="292" t="n"/>
      <c r="AM111" s="296" t="n"/>
    </row>
    <row r="112" ht="18" customFormat="1" customHeight="1" s="294">
      <c r="A112" s="22" t="n">
        <v>49</v>
      </c>
      <c r="B112" s="552">
        <f>'INPUT DATA'!O59</f>
        <v/>
      </c>
      <c r="C112" s="553" t="n"/>
      <c r="D112" s="553" t="n"/>
      <c r="E112" s="554" t="n"/>
      <c r="F112" s="62" t="n"/>
      <c r="G112" s="63" t="n"/>
      <c r="H112" s="299">
        <f>'TERM 1'!AA112</f>
        <v/>
      </c>
      <c r="I112" s="63" t="n"/>
      <c r="J112" s="63" t="n"/>
      <c r="K112" s="63" t="n"/>
      <c r="L112" s="63" t="n"/>
      <c r="M112" s="64" t="n"/>
      <c r="N112" s="62" t="n"/>
      <c r="O112" s="63" t="n"/>
      <c r="P112" s="300">
        <f>'TERM 2'!AA112</f>
        <v/>
      </c>
      <c r="Q112" s="63" t="n"/>
      <c r="R112" s="63" t="n"/>
      <c r="S112" s="63" t="n"/>
      <c r="T112" s="63" t="n"/>
      <c r="U112" s="64" t="n"/>
      <c r="V112" s="694">
        <f>'TERM 3'!AA112</f>
        <v/>
      </c>
      <c r="W112" s="673" t="n"/>
      <c r="X112" s="673" t="n"/>
      <c r="Y112" s="690" t="n"/>
      <c r="Z112" s="574">
        <f>IFERROR((H112+P112+V112)/3, "")</f>
        <v/>
      </c>
      <c r="AA112" s="673" t="n"/>
      <c r="AB112" s="673" t="n"/>
      <c r="AC112" s="329">
        <f t="array" ref="AC112">IF(Z112="", "", _xlfn.IFS(Z112&gt;=90, "Advancing", Z112&gt;=80, "Benchmarking", Z112&gt;=75, "Connecting", Z112&gt;=65, "Developing", Z112&gt;=0, "Emerging"))</f>
        <v/>
      </c>
      <c r="AD112" s="302" t="n"/>
      <c r="AE112" s="292" t="n"/>
      <c r="AF112" s="291" t="n"/>
      <c r="AG112" s="291" t="n"/>
      <c r="AH112" s="291" t="n"/>
      <c r="AI112" s="293" t="n"/>
      <c r="AM112" s="296" t="n"/>
    </row>
    <row r="113" ht="18" customFormat="1" customHeight="1" s="294" thickBot="1">
      <c r="A113" s="24" t="n">
        <v>50</v>
      </c>
      <c r="B113" s="118">
        <f>'INPUT DATA'!O60</f>
        <v/>
      </c>
      <c r="C113" s="119" t="n"/>
      <c r="D113" s="338" t="n"/>
      <c r="E113" s="339" t="n"/>
      <c r="F113" s="65" t="n"/>
      <c r="G113" s="66" t="n"/>
      <c r="H113" s="340">
        <f>'TERM 1'!AA113</f>
        <v/>
      </c>
      <c r="I113" s="66" t="n"/>
      <c r="J113" s="66" t="n"/>
      <c r="K113" s="66" t="n"/>
      <c r="L113" s="66" t="n"/>
      <c r="M113" s="67" t="n"/>
      <c r="N113" s="65" t="n"/>
      <c r="O113" s="66" t="n"/>
      <c r="P113" s="341">
        <f>'TERM 2'!AA113</f>
        <v/>
      </c>
      <c r="Q113" s="66" t="n"/>
      <c r="R113" s="66" t="n"/>
      <c r="S113" s="66" t="n"/>
      <c r="T113" s="66" t="n"/>
      <c r="U113" s="67" t="n"/>
      <c r="V113" s="703">
        <f>'TERM 3'!AA113</f>
        <v/>
      </c>
      <c r="W113" s="677" t="n"/>
      <c r="X113" s="677" t="n"/>
      <c r="Y113" s="704" t="n"/>
      <c r="Z113" s="596">
        <f>IFERROR((H113+P113+V113)/3, "")</f>
        <v/>
      </c>
      <c r="AA113" s="677" t="n"/>
      <c r="AB113" s="677" t="n"/>
      <c r="AC113" s="330">
        <f t="array" ref="AC113">IF(Z113="", "", _xlfn.IFS(Z113&gt;=90, "Advancing", Z113&gt;=80, "Benchmarking", Z113&gt;=75, "Connecting", Z113&gt;=65, "Developing", Z113&gt;=0, "Emerging"))</f>
        <v/>
      </c>
      <c r="AD113" s="302" t="n"/>
      <c r="AE113" s="292" t="n"/>
      <c r="AF113" s="291" t="n"/>
      <c r="AG113" s="291" t="n"/>
      <c r="AH113" s="291" t="n"/>
      <c r="AI113" s="293" t="n"/>
      <c r="AM113" s="296" t="n"/>
    </row>
    <row r="120" hidden="1" customFormat="1" s="2">
      <c r="Q120" s="7" t="n"/>
      <c r="R120" s="7" t="n"/>
      <c r="AC120" s="7" t="n"/>
      <c r="AD120" s="7" t="n"/>
      <c r="AF120" s="7" t="n"/>
      <c r="AG120" s="7" t="n"/>
      <c r="AH120" s="7" t="n"/>
      <c r="AI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KofWHIGgQbARp42fE7EyPQ==" formatRows="1" sort="1" spinCount="100000" hashValue="Ag0XtV1HG4HiEnh4UlBYWGwolsqbTs16a1rzbHzovCa7I6Z7uXK9tIH4zEdJhwb78Vj9//692lGyizQBeKwJQw=="/>
  <mergeCells count="286">
    <mergeCell ref="V32:Y32"/>
    <mergeCell ref="Z43:AB43"/>
    <mergeCell ref="V26:Y26"/>
    <mergeCell ref="V41:Y41"/>
    <mergeCell ref="Z106:AB106"/>
    <mergeCell ref="AF6:AH6"/>
    <mergeCell ref="Z18:AB18"/>
    <mergeCell ref="V16:Y16"/>
    <mergeCell ref="AB5:AC5"/>
    <mergeCell ref="A9:E11"/>
    <mergeCell ref="V25:Y25"/>
    <mergeCell ref="Z10:AC10"/>
    <mergeCell ref="Z17:AB17"/>
    <mergeCell ref="V57:Y57"/>
    <mergeCell ref="B36:E36"/>
    <mergeCell ref="Z68:AB68"/>
    <mergeCell ref="I10:R10"/>
    <mergeCell ref="Z82:AB82"/>
    <mergeCell ref="B45:E45"/>
    <mergeCell ref="F12:M12"/>
    <mergeCell ref="V18:Y18"/>
    <mergeCell ref="Z9:AC9"/>
    <mergeCell ref="Z67:AB67"/>
    <mergeCell ref="D6:W6"/>
    <mergeCell ref="Z110:AB110"/>
    <mergeCell ref="V86:Y86"/>
    <mergeCell ref="V17:Y17"/>
    <mergeCell ref="V68:Y68"/>
    <mergeCell ref="V100:Y100"/>
    <mergeCell ref="B47:E47"/>
    <mergeCell ref="Z107:AB107"/>
    <mergeCell ref="Z20:AB20"/>
    <mergeCell ref="V82:Y82"/>
    <mergeCell ref="Z60:AB60"/>
    <mergeCell ref="V58:Y58"/>
    <mergeCell ref="Z69:AB69"/>
    <mergeCell ref="B22:E22"/>
    <mergeCell ref="V52:Y52"/>
    <mergeCell ref="Z103:AB103"/>
    <mergeCell ref="B31:E31"/>
    <mergeCell ref="V102:Y102"/>
    <mergeCell ref="Z84:AB84"/>
    <mergeCell ref="Z59:AB59"/>
    <mergeCell ref="V111:Y111"/>
    <mergeCell ref="B21:E21"/>
    <mergeCell ref="V20:Y20"/>
    <mergeCell ref="Z31:AB31"/>
    <mergeCell ref="V72:Y72"/>
    <mergeCell ref="Z45:AB45"/>
    <mergeCell ref="V29:Y29"/>
    <mergeCell ref="B39:E39"/>
    <mergeCell ref="V81:Y81"/>
    <mergeCell ref="Z108:AB108"/>
    <mergeCell ref="Z86:AB86"/>
    <mergeCell ref="Z55:AB55"/>
    <mergeCell ref="B14:E14"/>
    <mergeCell ref="V84:Y84"/>
    <mergeCell ref="Z95:AB95"/>
    <mergeCell ref="V44:Y44"/>
    <mergeCell ref="B23:E23"/>
    <mergeCell ref="J5:O5"/>
    <mergeCell ref="V31:Y31"/>
    <mergeCell ref="B13:E13"/>
    <mergeCell ref="Z70:AB70"/>
    <mergeCell ref="B38:E38"/>
    <mergeCell ref="A63:E63"/>
    <mergeCell ref="V108:Y108"/>
    <mergeCell ref="Z26:AB26"/>
    <mergeCell ref="V15:Y15"/>
    <mergeCell ref="Z97:AB97"/>
    <mergeCell ref="V51:Y51"/>
    <mergeCell ref="Z72:AB72"/>
    <mergeCell ref="Z81:AB81"/>
    <mergeCell ref="B40:E40"/>
    <mergeCell ref="Y5:AA5"/>
    <mergeCell ref="V70:Y70"/>
    <mergeCell ref="B49:E49"/>
    <mergeCell ref="N11:U11"/>
    <mergeCell ref="Z62:AB62"/>
    <mergeCell ref="F11:M11"/>
    <mergeCell ref="Z56:AB56"/>
    <mergeCell ref="Z71:AB71"/>
    <mergeCell ref="B33:E33"/>
    <mergeCell ref="Z58:AB58"/>
    <mergeCell ref="B51:E51"/>
    <mergeCell ref="V90:Y90"/>
    <mergeCell ref="Z64:AB64"/>
    <mergeCell ref="B32:E32"/>
    <mergeCell ref="Z33:AB33"/>
    <mergeCell ref="V62:Y62"/>
    <mergeCell ref="Z73:AB73"/>
    <mergeCell ref="B26:E26"/>
    <mergeCell ref="Z51:AB51"/>
    <mergeCell ref="Z42:AB42"/>
    <mergeCell ref="V71:Y71"/>
    <mergeCell ref="V56:Y56"/>
    <mergeCell ref="B50:E50"/>
    <mergeCell ref="N12:U12"/>
    <mergeCell ref="Z48:AB48"/>
    <mergeCell ref="V43:Y43"/>
    <mergeCell ref="B35:E35"/>
    <mergeCell ref="V101:Y101"/>
    <mergeCell ref="B16:E16"/>
    <mergeCell ref="B25:E25"/>
    <mergeCell ref="Z35:AB35"/>
    <mergeCell ref="V76:Y76"/>
    <mergeCell ref="V91:Y91"/>
    <mergeCell ref="Z44:AB44"/>
    <mergeCell ref="V73:Y73"/>
    <mergeCell ref="V85:Y85"/>
    <mergeCell ref="V42:Y42"/>
    <mergeCell ref="V33:Y33"/>
    <mergeCell ref="Z19:AB19"/>
    <mergeCell ref="Z34:AB34"/>
    <mergeCell ref="V48:Y48"/>
    <mergeCell ref="B18:E18"/>
    <mergeCell ref="Z28:AB28"/>
    <mergeCell ref="V88:Y88"/>
    <mergeCell ref="Z99:AB99"/>
    <mergeCell ref="A12:E12"/>
    <mergeCell ref="B27:E27"/>
    <mergeCell ref="V35:Y35"/>
    <mergeCell ref="V10:Y10"/>
    <mergeCell ref="Z36:AB36"/>
    <mergeCell ref="V77:Y77"/>
    <mergeCell ref="V34:Y34"/>
    <mergeCell ref="Z30:AB30"/>
    <mergeCell ref="Z101:AB101"/>
    <mergeCell ref="V28:Y28"/>
    <mergeCell ref="V19:Y19"/>
    <mergeCell ref="V99:Y99"/>
    <mergeCell ref="Z77:AB77"/>
    <mergeCell ref="Z11:AB11"/>
    <mergeCell ref="B61:E61"/>
    <mergeCell ref="B6:C6"/>
    <mergeCell ref="V9:Y9"/>
    <mergeCell ref="V74:Y74"/>
    <mergeCell ref="Z85:AB85"/>
    <mergeCell ref="B53:E53"/>
    <mergeCell ref="V83:Y83"/>
    <mergeCell ref="V39:Y39"/>
    <mergeCell ref="AF9:AI9"/>
    <mergeCell ref="V30:Y30"/>
    <mergeCell ref="Z61:AB61"/>
    <mergeCell ref="B29:E29"/>
    <mergeCell ref="D5:H5"/>
    <mergeCell ref="Z75:AB75"/>
    <mergeCell ref="B37:E37"/>
    <mergeCell ref="V11:Y11"/>
    <mergeCell ref="V103:Y103"/>
    <mergeCell ref="V66:Y66"/>
    <mergeCell ref="Z112:AB112"/>
    <mergeCell ref="V75:Y75"/>
    <mergeCell ref="V53:Y53"/>
    <mergeCell ref="Z109:AB109"/>
    <mergeCell ref="Z47:AB47"/>
    <mergeCell ref="B15:E15"/>
    <mergeCell ref="B55:E55"/>
    <mergeCell ref="Z96:AB96"/>
    <mergeCell ref="B24:E24"/>
    <mergeCell ref="V95:Y95"/>
    <mergeCell ref="V46:Y46"/>
    <mergeCell ref="V37:Y37"/>
    <mergeCell ref="Q8:U8"/>
    <mergeCell ref="Z111:AB111"/>
    <mergeCell ref="V109:Y109"/>
    <mergeCell ref="Z38:AB38"/>
    <mergeCell ref="V65:Y65"/>
    <mergeCell ref="Z98:AB98"/>
    <mergeCell ref="V47:Y47"/>
    <mergeCell ref="V61:Y61"/>
    <mergeCell ref="V21:Y21"/>
    <mergeCell ref="B54:E54"/>
    <mergeCell ref="Z79:AB79"/>
    <mergeCell ref="Z88:AB88"/>
    <mergeCell ref="V23:Y23"/>
    <mergeCell ref="V38:Y38"/>
    <mergeCell ref="B56:E56"/>
    <mergeCell ref="V13:Y13"/>
    <mergeCell ref="Z24:AB24"/>
    <mergeCell ref="V64:Y64"/>
    <mergeCell ref="V79:Y79"/>
    <mergeCell ref="Z90:AB90"/>
    <mergeCell ref="B58:E58"/>
    <mergeCell ref="B43:E43"/>
    <mergeCell ref="B52:E52"/>
    <mergeCell ref="V87:Y87"/>
    <mergeCell ref="Z65:AB65"/>
    <mergeCell ref="Z105:AB105"/>
    <mergeCell ref="Z74:AB74"/>
    <mergeCell ref="B42:E42"/>
    <mergeCell ref="V93:Y93"/>
    <mergeCell ref="V24:Y24"/>
    <mergeCell ref="B60:E60"/>
    <mergeCell ref="Z49:AB49"/>
    <mergeCell ref="V89:Y89"/>
    <mergeCell ref="Z27:AB27"/>
    <mergeCell ref="B17:E17"/>
    <mergeCell ref="B57:E57"/>
    <mergeCell ref="A1:AC2"/>
    <mergeCell ref="Z76:AB76"/>
    <mergeCell ref="B5:C5"/>
    <mergeCell ref="B44:E44"/>
    <mergeCell ref="Z8:AC8"/>
    <mergeCell ref="Z57:AB57"/>
    <mergeCell ref="Z113:AB113"/>
    <mergeCell ref="V110:Y110"/>
    <mergeCell ref="Z91:AB91"/>
    <mergeCell ref="Z66:AB66"/>
    <mergeCell ref="B19:E19"/>
    <mergeCell ref="V49:Y49"/>
    <mergeCell ref="Z100:AB100"/>
    <mergeCell ref="V27:Y27"/>
    <mergeCell ref="B28:E28"/>
    <mergeCell ref="Z53:AB53"/>
    <mergeCell ref="B34:E34"/>
    <mergeCell ref="V36:Y36"/>
    <mergeCell ref="Z50:AB50"/>
    <mergeCell ref="V104:Y104"/>
    <mergeCell ref="Z22:AB22"/>
    <mergeCell ref="AB6:AC6"/>
    <mergeCell ref="Z93:AB93"/>
    <mergeCell ref="V113:Y113"/>
    <mergeCell ref="Z37:AB37"/>
    <mergeCell ref="Z102:AB102"/>
    <mergeCell ref="B30:E30"/>
    <mergeCell ref="Z12:AB12"/>
    <mergeCell ref="Z52:AB52"/>
    <mergeCell ref="Z83:AB83"/>
    <mergeCell ref="Z21:AB21"/>
    <mergeCell ref="V50:Y50"/>
    <mergeCell ref="Z92:AB92"/>
    <mergeCell ref="B20:E20"/>
    <mergeCell ref="Z39:AB39"/>
    <mergeCell ref="F63:AE63"/>
    <mergeCell ref="V22:Y22"/>
    <mergeCell ref="S10:U10"/>
    <mergeCell ref="V80:Y80"/>
    <mergeCell ref="Y6:AA6"/>
    <mergeCell ref="Z14:AB14"/>
    <mergeCell ref="Z29:AB29"/>
    <mergeCell ref="V55:Y55"/>
    <mergeCell ref="V12:Y12"/>
    <mergeCell ref="Z23:AB23"/>
    <mergeCell ref="Z94:AB94"/>
    <mergeCell ref="B62:E62"/>
    <mergeCell ref="V92:Y92"/>
    <mergeCell ref="B59:E59"/>
    <mergeCell ref="Z13:AB13"/>
    <mergeCell ref="V67:Y67"/>
    <mergeCell ref="Z78:AB78"/>
    <mergeCell ref="B46:E46"/>
    <mergeCell ref="Z87:AB87"/>
    <mergeCell ref="V14:Y14"/>
    <mergeCell ref="V97:Y97"/>
    <mergeCell ref="V112:Y112"/>
    <mergeCell ref="B41:E41"/>
    <mergeCell ref="V94:Y94"/>
    <mergeCell ref="V106:Y106"/>
    <mergeCell ref="Z46:AB46"/>
    <mergeCell ref="Z15:AB15"/>
    <mergeCell ref="Z40:AB40"/>
    <mergeCell ref="V69:Y69"/>
    <mergeCell ref="Z80:AB80"/>
    <mergeCell ref="V96:Y96"/>
    <mergeCell ref="B48:E48"/>
    <mergeCell ref="V78:Y78"/>
    <mergeCell ref="Z89:AB89"/>
    <mergeCell ref="V105:Y105"/>
    <mergeCell ref="V59:Y59"/>
    <mergeCell ref="Z104:AB104"/>
    <mergeCell ref="F10:H10"/>
    <mergeCell ref="N9:U9"/>
    <mergeCell ref="V98:Y98"/>
    <mergeCell ref="V40:Y40"/>
    <mergeCell ref="V107:Y107"/>
    <mergeCell ref="Z54:AB54"/>
    <mergeCell ref="Z32:AB32"/>
    <mergeCell ref="Z41:AB41"/>
    <mergeCell ref="V60:Y60"/>
    <mergeCell ref="AC12:AE12"/>
    <mergeCell ref="P5:W5"/>
    <mergeCell ref="Z16:AB16"/>
    <mergeCell ref="V45:Y45"/>
    <mergeCell ref="Z25:AB25"/>
    <mergeCell ref="V54:Y54"/>
  </mergeCells>
  <conditionalFormatting sqref="B13:E62">
    <cfRule type="expression" priority="3" dxfId="2">
      <formula>IF($V13&lt;75,TRUE,FALSE)</formula>
    </cfRule>
  </conditionalFormatting>
  <conditionalFormatting sqref="B64:E113">
    <cfRule type="expression" priority="2" dxfId="2">
      <formula>IF($V64&lt;75,TRUE,FALSE)</formula>
    </cfRule>
  </conditionalFormatting>
  <conditionalFormatting sqref="V13:Y62 V64:Y113">
    <cfRule type="cellIs" priority="7" operator="lessThan" dxfId="0">
      <formula>75</formula>
    </cfRule>
  </conditionalFormatting>
  <conditionalFormatting sqref="Z13:AB62 Z64:AB113">
    <cfRule type="containsText" priority="5" operator="containsText" dxfId="0" text="FAILED">
      <formula>NOT(ISERROR(SEARCH("FAILED",Z13)))</formula>
    </cfRule>
  </conditionalFormatting>
  <dataValidations count="24">
    <dataValidation sqref="A12 A63 F12:F62 F64:F113 N12:N62 N64:N113 V12:AB62 V64:AB113 AC3:AC4 AC7 AC11:AC62 AD1:AE62" showDropDown="0" showInputMessage="0" showErrorMessage="1" allowBlank="1"/>
    <dataValidation sqref="F11 N11 V11 Z11" showDropDown="0" showInputMessage="0" showErrorMessage="1" allowBlank="1" prompt="EITHER WRITE YOUR OWN HPS OR EMPTY"/>
    <dataValidation sqref="B13:B62 B64:B113" showDropDown="0" showInputMessage="1" showErrorMessage="0" allowBlank="1" prompt="Do not type name of learners here. Go to INPUT DATA sheet."/>
  </dataValidations>
  <printOptions horizontalCentered="1"/>
  <pageMargins left="0.4" right="0.4" top="0.5" bottom="0.5" header="0.3" footer="0.3"/>
  <pageSetup orientation="portrait" paperSize="9" scale="61" fitToHeight="2" horizontalDpi="429496729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4">
    <tabColor theme="1"/>
    <outlinePr summaryBelow="1" summaryRight="1"/>
    <pageSetUpPr/>
  </sheetPr>
  <dimension ref="A1:DZ204"/>
  <sheetViews>
    <sheetView topLeftCell="BA2" zoomScale="60" zoomScaleNormal="85" workbookViewId="0">
      <selection activeCell="CN11" sqref="CN11"/>
    </sheetView>
  </sheetViews>
  <sheetFormatPr baseColWidth="8" defaultColWidth="57" defaultRowHeight="16.5" zeroHeight="1"/>
  <cols>
    <col width="11" customWidth="1" style="204" min="1" max="1"/>
    <col width="11" customWidth="1" style="200" min="2" max="9"/>
    <col width="11" customWidth="1" style="205" min="10" max="10"/>
    <col width="11" customWidth="1" style="200" min="11" max="20"/>
    <col width="11" customWidth="1" style="205" min="21" max="21"/>
    <col width="11" customWidth="1" style="204" min="22" max="22"/>
    <col width="11" customWidth="1" style="200" min="23" max="30"/>
    <col width="11" customWidth="1" style="205" min="31" max="31"/>
    <col width="11" customWidth="1" style="200" min="32" max="42"/>
    <col width="11" customWidth="1" style="204" min="43" max="43"/>
    <col width="11" customWidth="1" style="200" min="44" max="51"/>
    <col width="11" customWidth="1" style="205" min="52" max="52"/>
    <col width="11" customWidth="1" style="200" min="53" max="62"/>
    <col width="11" customWidth="1" style="205" min="63" max="63"/>
    <col width="11" customWidth="1" style="204" min="64" max="64"/>
    <col width="11" customWidth="1" style="200" min="65" max="72"/>
    <col width="11" customWidth="1" style="205" min="73" max="73"/>
    <col width="11" customWidth="1" style="200" min="74" max="85"/>
    <col width="50.7109375" customWidth="1" style="199" min="86" max="86"/>
    <col width="19.28515625" customWidth="1" style="199" min="87" max="89"/>
    <col width="19.28515625" customWidth="1" style="200" min="90" max="94"/>
    <col width="19.28515625" customWidth="1" style="199" min="95" max="96"/>
    <col width="14.140625" customWidth="1" style="199" min="97" max="98"/>
    <col width="14.140625" customWidth="1" style="200" min="99" max="102"/>
    <col width="14.140625" customWidth="1" style="199" min="103" max="107"/>
    <col width="57" customWidth="1" style="199" min="108" max="117"/>
    <col width="57" customWidth="1" style="200" min="118" max="118"/>
    <col width="57" customWidth="1" style="199" min="119" max="129"/>
    <col width="57" customWidth="1" style="199" min="130" max="140"/>
  </cols>
  <sheetData>
    <row r="1" ht="50.25" customFormat="1" customHeight="1" s="188" thickBot="1">
      <c r="A1" s="184" t="inlineStr">
        <is>
          <t>WW 1</t>
        </is>
      </c>
      <c r="B1" s="637" t="n"/>
      <c r="C1" s="637" t="n"/>
      <c r="D1" s="637" t="n"/>
      <c r="E1" s="637" t="n"/>
      <c r="F1" s="637" t="n"/>
      <c r="G1" s="637" t="n"/>
      <c r="H1" s="637" t="n"/>
      <c r="I1" s="637" t="n"/>
      <c r="J1" s="624" t="n"/>
      <c r="K1" s="184" t="inlineStr">
        <is>
          <t>PT 1</t>
        </is>
      </c>
      <c r="L1" s="637" t="n"/>
      <c r="M1" s="637" t="n"/>
      <c r="N1" s="637" t="n"/>
      <c r="O1" s="637" t="n"/>
      <c r="P1" s="637" t="n"/>
      <c r="Q1" s="637" t="n"/>
      <c r="R1" s="637" t="n"/>
      <c r="S1" s="637" t="n"/>
      <c r="T1" s="624" t="n"/>
      <c r="U1" s="184" t="inlineStr">
        <is>
          <t>QA 1</t>
        </is>
      </c>
      <c r="V1" s="184" t="inlineStr">
        <is>
          <t>WW 2</t>
        </is>
      </c>
      <c r="W1" s="637" t="n"/>
      <c r="X1" s="637" t="n"/>
      <c r="Y1" s="637" t="n"/>
      <c r="Z1" s="637" t="n"/>
      <c r="AA1" s="637" t="n"/>
      <c r="AB1" s="637" t="n"/>
      <c r="AC1" s="637" t="n"/>
      <c r="AD1" s="637" t="n"/>
      <c r="AE1" s="624" t="n"/>
      <c r="AF1" s="184" t="inlineStr">
        <is>
          <t>PT 2</t>
        </is>
      </c>
      <c r="AG1" s="637" t="n"/>
      <c r="AH1" s="637" t="n"/>
      <c r="AI1" s="637" t="n"/>
      <c r="AJ1" s="637" t="n"/>
      <c r="AK1" s="637" t="n"/>
      <c r="AL1" s="637" t="n"/>
      <c r="AM1" s="637" t="n"/>
      <c r="AN1" s="637" t="n"/>
      <c r="AO1" s="624" t="n"/>
      <c r="AP1" s="184" t="inlineStr">
        <is>
          <t>QA 2</t>
        </is>
      </c>
      <c r="AQ1" s="184" t="inlineStr">
        <is>
          <t>WW 3</t>
        </is>
      </c>
      <c r="AR1" s="637" t="n"/>
      <c r="AS1" s="637" t="n"/>
      <c r="AT1" s="637" t="n"/>
      <c r="AU1" s="637" t="n"/>
      <c r="AV1" s="637" t="n"/>
      <c r="AW1" s="637" t="n"/>
      <c r="AX1" s="637" t="n"/>
      <c r="AY1" s="637" t="n"/>
      <c r="AZ1" s="624" t="n"/>
      <c r="BA1" s="184" t="inlineStr">
        <is>
          <t>PT 3</t>
        </is>
      </c>
      <c r="BB1" s="637" t="n"/>
      <c r="BC1" s="637" t="n"/>
      <c r="BD1" s="637" t="n"/>
      <c r="BE1" s="637" t="n"/>
      <c r="BF1" s="637" t="n"/>
      <c r="BG1" s="637" t="n"/>
      <c r="BH1" s="637" t="n"/>
      <c r="BI1" s="637" t="n"/>
      <c r="BJ1" s="624" t="n"/>
      <c r="BK1" s="184" t="inlineStr">
        <is>
          <t>QA 3</t>
        </is>
      </c>
      <c r="BL1" s="184" t="inlineStr">
        <is>
          <t>WW 4</t>
        </is>
      </c>
      <c r="BM1" s="637" t="n"/>
      <c r="BN1" s="637" t="n"/>
      <c r="BO1" s="637" t="n"/>
      <c r="BP1" s="637" t="n"/>
      <c r="BQ1" s="637" t="n"/>
      <c r="BR1" s="637" t="n"/>
      <c r="BS1" s="637" t="n"/>
      <c r="BT1" s="637" t="n"/>
      <c r="BU1" s="624" t="n"/>
      <c r="BV1" s="184" t="inlineStr">
        <is>
          <t>PT 4</t>
        </is>
      </c>
      <c r="BW1" s="637" t="n"/>
      <c r="BX1" s="637" t="n"/>
      <c r="BY1" s="637" t="n"/>
      <c r="BZ1" s="637" t="n"/>
      <c r="CA1" s="637" t="n"/>
      <c r="CB1" s="637" t="n"/>
      <c r="CC1" s="637" t="n"/>
      <c r="CD1" s="637" t="n"/>
      <c r="CE1" s="624" t="n"/>
      <c r="CF1" s="184" t="inlineStr">
        <is>
          <t>QA 4</t>
        </is>
      </c>
      <c r="CG1" s="185" t="inlineStr">
        <is>
          <t>Grade Level</t>
        </is>
      </c>
      <c r="CH1" s="186" t="inlineStr">
        <is>
          <t>SUBJECT TYPE</t>
        </is>
      </c>
      <c r="CI1" s="186" t="inlineStr">
        <is>
          <t>WRITTEN/ ORAL WORKS</t>
        </is>
      </c>
      <c r="CJ1" s="186" t="inlineStr">
        <is>
          <t>PRODUCT/ PERFORMANCE TASKS</t>
        </is>
      </c>
      <c r="CK1" s="186" t="inlineStr">
        <is>
          <t>SUMMATIVE TESTS &amp; TERM EXAMINATION</t>
        </is>
      </c>
      <c r="CL1" s="187" t="inlineStr">
        <is>
          <t>WW</t>
        </is>
      </c>
      <c r="CM1" s="187" t="inlineStr">
        <is>
          <t>PT</t>
        </is>
      </c>
      <c r="CN1" s="187" t="inlineStr">
        <is>
          <t>QA</t>
        </is>
      </c>
      <c r="CO1" s="187" t="n">
        <v>11</v>
      </c>
      <c r="CP1" s="187" t="n">
        <v>12</v>
      </c>
      <c r="CQ1" s="188" t="n">
        <v>0</v>
      </c>
      <c r="CR1" s="188" t="n">
        <v>60</v>
      </c>
      <c r="CT1" s="188" t="inlineStr">
        <is>
          <t>LEARNER</t>
        </is>
      </c>
      <c r="CU1" s="189" t="inlineStr">
        <is>
          <t>Q1</t>
        </is>
      </c>
      <c r="CV1" s="189" t="inlineStr">
        <is>
          <t>Q2</t>
        </is>
      </c>
      <c r="CW1" s="190" t="inlineStr">
        <is>
          <t>Q3</t>
        </is>
      </c>
      <c r="CX1" s="190" t="inlineStr">
        <is>
          <t>Q4</t>
        </is>
      </c>
      <c r="CY1" s="191" t="inlineStr">
        <is>
          <t>Q1</t>
        </is>
      </c>
      <c r="CZ1" s="191" t="inlineStr">
        <is>
          <t>Q2</t>
        </is>
      </c>
      <c r="DA1" s="191" t="inlineStr">
        <is>
          <t>Q3</t>
        </is>
      </c>
      <c r="DB1" s="191" t="inlineStr">
        <is>
          <t>Q4</t>
        </is>
      </c>
      <c r="DD1" s="213" t="inlineStr">
        <is>
          <t>SSHSECR2026</t>
        </is>
      </c>
      <c r="DE1" s="214" t="n">
        <v>11</v>
      </c>
      <c r="DF1" s="215" t="n">
        <v>12</v>
      </c>
      <c r="DI1" s="230" t="inlineStr">
        <is>
          <t>Track</t>
        </is>
      </c>
      <c r="DJ1" s="231" t="inlineStr">
        <is>
          <t>Cluster</t>
        </is>
      </c>
      <c r="DK1" s="231" t="inlineStr">
        <is>
          <t>Subject</t>
        </is>
      </c>
      <c r="DL1" s="231" t="inlineStr">
        <is>
          <t>Grade 11</t>
        </is>
      </c>
      <c r="DM1" s="231" t="inlineStr">
        <is>
          <t>Grade 12</t>
        </is>
      </c>
      <c r="DN1" s="229" t="n"/>
    </row>
    <row r="2" ht="23.25" customHeight="1">
      <c r="A2" s="192" t="n">
        <v>1</v>
      </c>
      <c r="B2" s="193" t="n">
        <v>2</v>
      </c>
      <c r="C2" s="193" t="n">
        <v>3</v>
      </c>
      <c r="D2" s="193" t="n">
        <v>4</v>
      </c>
      <c r="E2" s="193" t="n">
        <v>5</v>
      </c>
      <c r="F2" s="193" t="n">
        <v>6</v>
      </c>
      <c r="G2" s="193" t="n">
        <v>7</v>
      </c>
      <c r="H2" s="193" t="n">
        <v>8</v>
      </c>
      <c r="I2" s="193" t="n">
        <v>9</v>
      </c>
      <c r="J2" s="194" t="n">
        <v>10</v>
      </c>
      <c r="K2" s="193" t="n">
        <v>1</v>
      </c>
      <c r="L2" s="193" t="n">
        <v>2</v>
      </c>
      <c r="M2" s="193" t="n">
        <v>3</v>
      </c>
      <c r="N2" s="193" t="n">
        <v>4</v>
      </c>
      <c r="O2" s="193" t="n">
        <v>5</v>
      </c>
      <c r="P2" s="193" t="n">
        <v>6</v>
      </c>
      <c r="Q2" s="193" t="n">
        <v>7</v>
      </c>
      <c r="R2" s="193" t="n">
        <v>8</v>
      </c>
      <c r="S2" s="193" t="n">
        <v>9</v>
      </c>
      <c r="T2" s="193" t="n">
        <v>10</v>
      </c>
      <c r="U2" s="195" t="n">
        <v>1</v>
      </c>
      <c r="V2" s="192" t="n">
        <v>1</v>
      </c>
      <c r="W2" s="193" t="n">
        <v>2</v>
      </c>
      <c r="X2" s="193" t="n">
        <v>3</v>
      </c>
      <c r="Y2" s="193" t="n">
        <v>4</v>
      </c>
      <c r="Z2" s="193" t="n">
        <v>5</v>
      </c>
      <c r="AA2" s="193" t="n">
        <v>6</v>
      </c>
      <c r="AB2" s="193" t="n">
        <v>7</v>
      </c>
      <c r="AC2" s="193" t="n">
        <v>8</v>
      </c>
      <c r="AD2" s="193" t="n">
        <v>9</v>
      </c>
      <c r="AE2" s="194" t="n">
        <v>10</v>
      </c>
      <c r="AF2" s="193" t="n">
        <v>1</v>
      </c>
      <c r="AG2" s="193" t="n">
        <v>2</v>
      </c>
      <c r="AH2" s="193" t="n">
        <v>3</v>
      </c>
      <c r="AI2" s="193" t="n">
        <v>4</v>
      </c>
      <c r="AJ2" s="193" t="n">
        <v>5</v>
      </c>
      <c r="AK2" s="193" t="n">
        <v>6</v>
      </c>
      <c r="AL2" s="193" t="n">
        <v>7</v>
      </c>
      <c r="AM2" s="193" t="n">
        <v>8</v>
      </c>
      <c r="AN2" s="193" t="n">
        <v>9</v>
      </c>
      <c r="AO2" s="193" t="n">
        <v>10</v>
      </c>
      <c r="AP2" s="195" t="n">
        <v>1</v>
      </c>
      <c r="AQ2" s="192" t="n">
        <v>1</v>
      </c>
      <c r="AR2" s="193" t="n">
        <v>2</v>
      </c>
      <c r="AS2" s="193" t="n">
        <v>3</v>
      </c>
      <c r="AT2" s="193" t="n">
        <v>4</v>
      </c>
      <c r="AU2" s="193" t="n">
        <v>5</v>
      </c>
      <c r="AV2" s="193" t="n">
        <v>6</v>
      </c>
      <c r="AW2" s="193" t="n">
        <v>7</v>
      </c>
      <c r="AX2" s="193" t="n">
        <v>8</v>
      </c>
      <c r="AY2" s="193" t="n">
        <v>9</v>
      </c>
      <c r="AZ2" s="194" t="n">
        <v>10</v>
      </c>
      <c r="BA2" s="193" t="n">
        <v>1</v>
      </c>
      <c r="BB2" s="193" t="n">
        <v>2</v>
      </c>
      <c r="BC2" s="193" t="n">
        <v>3</v>
      </c>
      <c r="BD2" s="193" t="n">
        <v>4</v>
      </c>
      <c r="BE2" s="193" t="n">
        <v>5</v>
      </c>
      <c r="BF2" s="193" t="n">
        <v>6</v>
      </c>
      <c r="BG2" s="193" t="n">
        <v>7</v>
      </c>
      <c r="BH2" s="193" t="n">
        <v>8</v>
      </c>
      <c r="BI2" s="193" t="n">
        <v>9</v>
      </c>
      <c r="BJ2" s="193" t="n">
        <v>10</v>
      </c>
      <c r="BK2" s="195" t="n">
        <v>1</v>
      </c>
      <c r="BL2" s="192" t="n">
        <v>1</v>
      </c>
      <c r="BM2" s="193" t="n">
        <v>2</v>
      </c>
      <c r="BN2" s="193" t="n">
        <v>3</v>
      </c>
      <c r="BO2" s="193" t="n">
        <v>4</v>
      </c>
      <c r="BP2" s="193" t="n">
        <v>5</v>
      </c>
      <c r="BQ2" s="193" t="n">
        <v>6</v>
      </c>
      <c r="BR2" s="193" t="n">
        <v>7</v>
      </c>
      <c r="BS2" s="193" t="n">
        <v>8</v>
      </c>
      <c r="BT2" s="193" t="n">
        <v>9</v>
      </c>
      <c r="BU2" s="194" t="n">
        <v>10</v>
      </c>
      <c r="BV2" s="193" t="n">
        <v>1</v>
      </c>
      <c r="BW2" s="193" t="n">
        <v>2</v>
      </c>
      <c r="BX2" s="193" t="n">
        <v>3</v>
      </c>
      <c r="BY2" s="193" t="n">
        <v>4</v>
      </c>
      <c r="BZ2" s="193" t="n">
        <v>5</v>
      </c>
      <c r="CA2" s="193" t="n">
        <v>6</v>
      </c>
      <c r="CB2" s="193" t="n">
        <v>7</v>
      </c>
      <c r="CC2" s="193" t="n">
        <v>8</v>
      </c>
      <c r="CD2" s="193" t="n">
        <v>9</v>
      </c>
      <c r="CE2" s="193" t="n">
        <v>10</v>
      </c>
      <c r="CF2" s="195" t="n">
        <v>1</v>
      </c>
      <c r="CG2" s="196" t="n">
        <v>11</v>
      </c>
      <c r="CH2" s="197" t="inlineStr">
        <is>
          <t>Core Subject (All Tracks)</t>
        </is>
      </c>
      <c r="CI2" s="197">
        <f>CI$1&amp;" ("&amp;CL2*100&amp;"%)"</f>
        <v/>
      </c>
      <c r="CJ2" s="197">
        <f>CJ$1&amp;" ("&amp;CM2*100&amp;"%)"</f>
        <v/>
      </c>
      <c r="CK2" s="197">
        <f>CK$1&amp;" ("&amp;CN2*100&amp;"%)"</f>
        <v/>
      </c>
      <c r="CL2" s="198" t="n">
        <v>0.2</v>
      </c>
      <c r="CM2" s="198" t="n">
        <v>0.5</v>
      </c>
      <c r="CN2" s="198" t="n">
        <v>0.3</v>
      </c>
      <c r="CO2" s="198" t="n">
        <v>3</v>
      </c>
      <c r="CP2" s="198" t="n"/>
      <c r="CQ2" s="199" t="n">
        <v>4.68</v>
      </c>
      <c r="CR2" s="199" t="n">
        <v>61</v>
      </c>
      <c r="CT2" s="199" t="inlineStr">
        <is>
          <t>MALE</t>
        </is>
      </c>
      <c r="DD2" s="216" t="inlineStr">
        <is>
          <t>Core Subject (All Tracks)</t>
        </is>
      </c>
      <c r="DE2" s="217" t="inlineStr">
        <is>
          <t>QUARTERLY AVERAGE</t>
        </is>
      </c>
      <c r="DF2" s="218" t="n"/>
      <c r="DI2" s="201" t="inlineStr">
        <is>
          <t>Core Subject (All Tracks)</t>
        </is>
      </c>
      <c r="DJ2" s="202" t="inlineStr">
        <is>
          <t>CORE</t>
        </is>
      </c>
      <c r="DK2" s="202" t="inlineStr">
        <is>
          <t>Effective Communication</t>
        </is>
      </c>
      <c r="DL2" s="202" t="n">
        <v>4</v>
      </c>
      <c r="DM2" s="202" t="n">
        <v>0</v>
      </c>
      <c r="DN2" s="203" t="n">
        <v>11</v>
      </c>
      <c r="DZ2" s="349" t="n"/>
    </row>
    <row r="3" ht="27" customHeight="1">
      <c r="A3" s="204">
        <f t="array" ref="A3">_xlfn.SEQUENCE(#REF!+1,1,#REF!,-1)</f>
        <v/>
      </c>
      <c r="B3" s="200">
        <f t="array" ref="B3">_xlfn.SEQUENCE(#REF!+1,1,#REF!,-1)</f>
        <v/>
      </c>
      <c r="C3" s="200">
        <f t="array" ref="C3">_xlfn.SEQUENCE(#REF!+1,1,#REF!,-1)</f>
        <v/>
      </c>
      <c r="D3" s="200">
        <f t="array" ref="D3">_xlfn.SEQUENCE(#REF!+1,1,#REF!,-1)</f>
        <v/>
      </c>
      <c r="E3" s="200">
        <f t="array" ref="E3">_xlfn.SEQUENCE(#REF!+1,1,#REF!,-1)</f>
        <v/>
      </c>
      <c r="F3" s="200">
        <f t="array" ref="F3">_xlfn.SEQUENCE(#REF!+1,1,#REF!,-1)</f>
        <v/>
      </c>
      <c r="G3" s="200">
        <f t="array" ref="G3">_xlfn.SEQUENCE(#REF!+1,1,#REF!,-1)</f>
        <v/>
      </c>
      <c r="H3" s="200">
        <f t="array" ref="H3">_xlfn.SEQUENCE(#REF!+1,1,#REF!,-1)</f>
        <v/>
      </c>
      <c r="I3" s="200">
        <f t="array" ref="I3">_xlfn.SEQUENCE(#REF!+1,1,#REF!,-1)</f>
        <v/>
      </c>
      <c r="J3" s="205">
        <f t="array" ref="J3">_xlfn.SEQUENCE(#REF!+1,1,#REF!,-1)</f>
        <v/>
      </c>
      <c r="K3" s="200">
        <f t="array" ref="K3">_xlfn.SEQUENCE(#REF!+1,1,#REF!,-1)</f>
        <v/>
      </c>
      <c r="L3" s="200">
        <f t="array" ref="L3">_xlfn.SEQUENCE(#REF!+1,1,#REF!,-1)</f>
        <v/>
      </c>
      <c r="M3" s="200">
        <f t="array" ref="M3">_xlfn.SEQUENCE(#REF!+1,1,#REF!,-1)</f>
        <v/>
      </c>
      <c r="N3" s="200">
        <f t="array" ref="N3">_xlfn.SEQUENCE(#REF!+1,1,#REF!,-1)</f>
        <v/>
      </c>
      <c r="O3" s="200">
        <f t="array" ref="O3">_xlfn.SEQUENCE(#REF!+1,1,#REF!,-1)</f>
        <v/>
      </c>
      <c r="P3" s="200">
        <f t="array" ref="P3">_xlfn.SEQUENCE(#REF!+1,1,#REF!,-1)</f>
        <v/>
      </c>
      <c r="Q3" s="200">
        <f t="array" ref="Q3">_xlfn.SEQUENCE(#REF!+1,1,#REF!,-1)</f>
        <v/>
      </c>
      <c r="R3" s="200">
        <f t="array" ref="R3">_xlfn.SEQUENCE(#REF!+1,1,#REF!,-1)</f>
        <v/>
      </c>
      <c r="S3" s="200">
        <f t="array" ref="S3">_xlfn.SEQUENCE(#REF!+1,1,#REF!,-1)</f>
        <v/>
      </c>
      <c r="T3" s="200">
        <f t="array" ref="T3">_xlfn.SEQUENCE(#REF!+1,1,#REF!,-1)</f>
        <v/>
      </c>
      <c r="U3" s="206">
        <f t="array" ref="U3">_xlfn.SEQUENCE(#REF!+1,1,#REF!,-1)</f>
        <v/>
      </c>
      <c r="V3" s="204">
        <f t="array" ref="V3">_xlfn.SEQUENCE(#REF!+1,1,#REF!,-1)</f>
        <v/>
      </c>
      <c r="W3" s="200">
        <f t="array" ref="W3">_xlfn.SEQUENCE(#REF!+1,1,#REF!,-1)</f>
        <v/>
      </c>
      <c r="X3" s="200">
        <f t="array" ref="X3">_xlfn.SEQUENCE(#REF!+1,1,#REF!,-1)</f>
        <v/>
      </c>
      <c r="Y3" s="200">
        <f t="array" ref="Y3">_xlfn.SEQUENCE(#REF!+1,1,#REF!,-1)</f>
        <v/>
      </c>
      <c r="Z3" s="200">
        <f t="array" ref="Z3">_xlfn.SEQUENCE(#REF!+1,1,#REF!,-1)</f>
        <v/>
      </c>
      <c r="AA3" s="200">
        <f t="array" ref="AA3">_xlfn.SEQUENCE(#REF!+1,1,#REF!,-1)</f>
        <v/>
      </c>
      <c r="AB3" s="200">
        <f t="array" ref="AB3">_xlfn.SEQUENCE(#REF!+1,1,#REF!,-1)</f>
        <v/>
      </c>
      <c r="AC3" s="200">
        <f t="array" ref="AC3">_xlfn.SEQUENCE(#REF!+1,1,#REF!,-1)</f>
        <v/>
      </c>
      <c r="AD3" s="200">
        <f t="array" ref="AD3">_xlfn.SEQUENCE(#REF!+1,1,#REF!,-1)</f>
        <v/>
      </c>
      <c r="AE3" s="205">
        <f t="array" ref="AE3">_xlfn.SEQUENCE(#REF!+1,1,#REF!,-1)</f>
        <v/>
      </c>
      <c r="AF3" s="200">
        <f t="array" ref="AF3">_xlfn.SEQUENCE(#REF!+1,1,#REF!,-1)</f>
        <v/>
      </c>
      <c r="AG3" s="200">
        <f t="array" ref="AG3">_xlfn.SEQUENCE(#REF!+1,1,#REF!,-1)</f>
        <v/>
      </c>
      <c r="AH3" s="200">
        <f t="array" ref="AH3">_xlfn.SEQUENCE(#REF!+1,1,#REF!,-1)</f>
        <v/>
      </c>
      <c r="AI3" s="200">
        <f t="array" ref="AI3">_xlfn.SEQUENCE(#REF!+1,1,#REF!,-1)</f>
        <v/>
      </c>
      <c r="AJ3" s="200">
        <f t="array" ref="AJ3">_xlfn.SEQUENCE(#REF!+1,1,#REF!,-1)</f>
        <v/>
      </c>
      <c r="AK3" s="200">
        <f t="array" ref="AK3">_xlfn.SEQUENCE(#REF!+1,1,#REF!,-1)</f>
        <v/>
      </c>
      <c r="AL3" s="200">
        <f t="array" ref="AL3">_xlfn.SEQUENCE(#REF!+1,1,#REF!,-1)</f>
        <v/>
      </c>
      <c r="AM3" s="200">
        <f t="array" ref="AM3">_xlfn.SEQUENCE(#REF!+1,1,#REF!,-1)</f>
        <v/>
      </c>
      <c r="AN3" s="200">
        <f t="array" ref="AN3">_xlfn.SEQUENCE(#REF!+1,1,#REF!,-1)</f>
        <v/>
      </c>
      <c r="AO3" s="200">
        <f t="array" ref="AO3">_xlfn.SEQUENCE(#REF!+1,1,#REF!,-1)</f>
        <v/>
      </c>
      <c r="AP3" s="206">
        <f t="array" ref="AP3">_xlfn.SEQUENCE(#REF!+1,1,#REF!,-1)</f>
        <v/>
      </c>
      <c r="AQ3" s="204">
        <f t="array" ref="AQ3">_xlfn.SEQUENCE(#REF!+1,1,#REF!,-1)</f>
        <v/>
      </c>
      <c r="AR3" s="204">
        <f t="array" ref="AR3">_xlfn.SEQUENCE(#REF!+1,1,#REF!,-1)</f>
        <v/>
      </c>
      <c r="AS3" s="204">
        <f t="array" ref="AS3">_xlfn.SEQUENCE(#REF!+1,1,#REF!,-1)</f>
        <v/>
      </c>
      <c r="AT3" s="204">
        <f t="array" ref="AT3">_xlfn.SEQUENCE(#REF!+1,1,#REF!,-1)</f>
        <v/>
      </c>
      <c r="AU3" s="204">
        <f t="array" ref="AU3">_xlfn.SEQUENCE(#REF!+1,1,#REF!,-1)</f>
        <v/>
      </c>
      <c r="AV3" s="204">
        <f t="array" ref="AV3">_xlfn.SEQUENCE(#REF!+1,1,#REF!,-1)</f>
        <v/>
      </c>
      <c r="AW3" s="204">
        <f t="array" ref="AW3">_xlfn.SEQUENCE(#REF!+1,1,#REF!,-1)</f>
        <v/>
      </c>
      <c r="AX3" s="204">
        <f t="array" ref="AX3">_xlfn.SEQUENCE(#REF!+1,1,#REF!,-1)</f>
        <v/>
      </c>
      <c r="AY3" s="204">
        <f t="array" ref="AY3">_xlfn.SEQUENCE(#REF!+1,1,#REF!,-1)</f>
        <v/>
      </c>
      <c r="AZ3" s="204">
        <f t="array" ref="AZ3">_xlfn.SEQUENCE(#REF!+1,1,#REF!,-1)</f>
        <v/>
      </c>
      <c r="BA3" s="200">
        <f t="array" ref="BA3">_xlfn.SEQUENCE(#REF!+1,1,#REF!,-1)</f>
        <v/>
      </c>
      <c r="BB3" s="200">
        <f t="array" ref="BB3">_xlfn.SEQUENCE(#REF!+1,1,#REF!,-1)</f>
        <v/>
      </c>
      <c r="BC3" s="200">
        <f t="array" ref="BC3">_xlfn.SEQUENCE(#REF!+1,1,#REF!,-1)</f>
        <v/>
      </c>
      <c r="BD3" s="200">
        <f t="array" ref="BD3">_xlfn.SEQUENCE(#REF!+1,1,#REF!,-1)</f>
        <v/>
      </c>
      <c r="BE3" s="200">
        <f t="array" ref="BE3">_xlfn.SEQUENCE(#REF!+1,1,#REF!,-1)</f>
        <v/>
      </c>
      <c r="BF3" s="200">
        <f t="array" ref="BF3">_xlfn.SEQUENCE(#REF!+1,1,#REF!,-1)</f>
        <v/>
      </c>
      <c r="BG3" s="200">
        <f t="array" ref="BG3">_xlfn.SEQUENCE(#REF!+1,1,#REF!,-1)</f>
        <v/>
      </c>
      <c r="BH3" s="200">
        <f t="array" ref="BH3">_xlfn.SEQUENCE(#REF!+1,1,#REF!,-1)</f>
        <v/>
      </c>
      <c r="BI3" s="200">
        <f t="array" ref="BI3">_xlfn.SEQUENCE(#REF!+1,1,#REF!,-1)</f>
        <v/>
      </c>
      <c r="BJ3" s="200">
        <f t="array" ref="BJ3">_xlfn.SEQUENCE(#REF!+1,1,#REF!,-1)</f>
        <v/>
      </c>
      <c r="BK3" s="206">
        <f t="array" ref="BK3">_xlfn.SEQUENCE(#REF!+1,1,#REF!,-1)</f>
        <v/>
      </c>
      <c r="BL3" s="204">
        <f t="array" ref="BL3">_xlfn.SEQUENCE(#REF!+1,1,#REF!,-1)</f>
        <v/>
      </c>
      <c r="BM3" s="204">
        <f t="array" ref="BM3">_xlfn.SEQUENCE(#REF!+1,1,#REF!,-1)</f>
        <v/>
      </c>
      <c r="BN3" s="204">
        <f t="array" ref="BN3">_xlfn.SEQUENCE(#REF!+1,1,#REF!,-1)</f>
        <v/>
      </c>
      <c r="BO3" s="204">
        <f t="array" ref="BO3">_xlfn.SEQUENCE(#REF!+1,1,#REF!,-1)</f>
        <v/>
      </c>
      <c r="BP3" s="204">
        <f t="array" ref="BP3">_xlfn.SEQUENCE(#REF!+1,1,#REF!,-1)</f>
        <v/>
      </c>
      <c r="BQ3" s="204">
        <f t="array" ref="BQ3">_xlfn.SEQUENCE(#REF!+1,1,#REF!,-1)</f>
        <v/>
      </c>
      <c r="BR3" s="204">
        <f t="array" ref="BR3">_xlfn.SEQUENCE(#REF!+1,1,#REF!,-1)</f>
        <v/>
      </c>
      <c r="BS3" s="204">
        <f t="array" ref="BS3">_xlfn.SEQUENCE(#REF!+1,1,#REF!,-1)</f>
        <v/>
      </c>
      <c r="BT3" s="204">
        <f t="array" ref="BT3">_xlfn.SEQUENCE(#REF!+1,1,#REF!,-1)</f>
        <v/>
      </c>
      <c r="BU3" s="204">
        <f t="array" ref="BU3">_xlfn.SEQUENCE(#REF!+1,1,#REF!,-1)</f>
        <v/>
      </c>
      <c r="BV3" s="200">
        <f t="array" ref="BV3">_xlfn.SEQUENCE(#REF!+1,1,#REF!,-1)</f>
        <v/>
      </c>
      <c r="BW3" s="200">
        <f t="array" ref="BW3">_xlfn.SEQUENCE(#REF!+1,1,#REF!,-1)</f>
        <v/>
      </c>
      <c r="BX3" s="200">
        <f t="array" ref="BX3">_xlfn.SEQUENCE(#REF!+1,1,#REF!,-1)</f>
        <v/>
      </c>
      <c r="BY3" s="200">
        <f t="array" ref="BY3">_xlfn.SEQUENCE(#REF!+1,1,#REF!,-1)</f>
        <v/>
      </c>
      <c r="BZ3" s="200">
        <f t="array" ref="BZ3">_xlfn.SEQUENCE(#REF!+1,1,#REF!,-1)</f>
        <v/>
      </c>
      <c r="CA3" s="200">
        <f t="array" ref="CA3">_xlfn.SEQUENCE(#REF!+1,1,#REF!,-1)</f>
        <v/>
      </c>
      <c r="CB3" s="200">
        <f t="array" ref="CB3">_xlfn.SEQUENCE(#REF!+1,1,#REF!,-1)</f>
        <v/>
      </c>
      <c r="CC3" s="200">
        <f t="array" ref="CC3">_xlfn.SEQUENCE(#REF!+1,1,#REF!,-1)</f>
        <v/>
      </c>
      <c r="CD3" s="200">
        <f t="array" ref="CD3">_xlfn.SEQUENCE(#REF!+1,1,#REF!,-1)</f>
        <v/>
      </c>
      <c r="CE3" s="200">
        <f t="array" ref="CE3">_xlfn.SEQUENCE(#REF!+1,1,#REF!,-1)</f>
        <v/>
      </c>
      <c r="CF3" s="206">
        <f t="array" ref="CF3">_xlfn.SEQUENCE(#REF!+1,1,#REF!,-1)</f>
        <v/>
      </c>
      <c r="CH3" s="197" t="inlineStr">
        <is>
          <t>Academic Elective (All Other Electives)</t>
        </is>
      </c>
      <c r="CI3" s="197">
        <f>CI$1&amp;" ("&amp;CL3*100&amp;"%)"</f>
        <v/>
      </c>
      <c r="CJ3" s="197">
        <f>CJ$1&amp;" ("&amp;CM3*100&amp;"%)"</f>
        <v/>
      </c>
      <c r="CK3" s="197">
        <f>CK$1&amp;" ("&amp;CN3*100&amp;"%)"</f>
        <v/>
      </c>
      <c r="CL3" s="198" t="n">
        <v>0.2</v>
      </c>
      <c r="CM3" s="198" t="n">
        <v>0.5</v>
      </c>
      <c r="CN3" s="198" t="n">
        <v>0.3</v>
      </c>
      <c r="CO3" s="198" t="n">
        <v>1</v>
      </c>
      <c r="CP3" s="198" t="n">
        <v>2</v>
      </c>
      <c r="CQ3" s="199" t="n">
        <v>9.35</v>
      </c>
      <c r="CR3" s="199" t="n">
        <v>62</v>
      </c>
      <c r="CT3" s="199">
        <f t="array" ref="CT3:CT52">_xlfn.SEQUENCE(50)</f>
        <v/>
      </c>
      <c r="CU3" s="200">
        <f t="array" ref="CU3">IF( OR( 'INPUT DATA'!$F$26="Academic Elective (All Other Electives)", 'INPUT DATA'!$F$26="Academic Elective (Field Experience / Exposure, and Sports and Arts)", AND('INPUT DATA'!$F$26="TechPro Elective (Work Immersion)", 'INPUT DATA'!$F$24=12), AND('INPUT DATA'!$F$26="TechPro Elective (All Other Electives)", 'INPUT DATA'!$F$24=12) ), INDIRECT("'" &amp; CU1 &amp; "'!AJ13:AJ113"), "" )</f>
        <v/>
      </c>
      <c r="CV3" s="200">
        <f t="array" ref="CV3">IF( OR( 'INPUT DATA'!$F$26="Academic Elective (All Other Electives)", 'INPUT DATA'!$F$26="Academic Elective (Field Experience / Exposure, and Sports and Arts)", AND('INPUT DATA'!$F$26="TechPro Elective (Work Immersion)", 'INPUT DATA'!$F$24=12), AND('INPUT DATA'!$F$26="TechPro Elective (All Other Electives)", 'INPUT DATA'!$F$24=12) ), INDIRECT("'" &amp; CV1 &amp; "'!AJ13:AJ113"), "" )</f>
        <v/>
      </c>
      <c r="CW3" s="200">
        <f t="array" ref="CW3">IF( OR( 'INPUT DATA'!$F$26="Academic Elective (All Other Electives)", 'INPUT DATA'!$F$26="Academic Elective (Field Experience / Exposure, and Sports and Arts)", AND('INPUT DATA'!$F$26="TechPro Elective (Work Immersion)", 'INPUT DATA'!$F$24=12), AND('INPUT DATA'!$F$26="TechPro Elective (All Other Electives)", 'INPUT DATA'!$F$24=12) ), INDIRECT("'" &amp; CW1 &amp; "'!AJ13:AJ113"), "" )</f>
        <v/>
      </c>
      <c r="CX3" s="200">
        <f t="array" ref="CX3">IF( OR( 'INPUT DATA'!$F$26="Academic Elective (All Other Electives)", 'INPUT DATA'!$F$26="Academic Elective (Field Experience / Exposure, and Sports and Arts)", AND('INPUT DATA'!$F$26="TechPro Elective (Work Immersion)", 'INPUT DATA'!$F$24=12), AND('INPUT DATA'!$F$26="TechPro Elective (All Other Electives)", 'INPUT DATA'!$F$24=12) ), INDIRECT("'" &amp; CX1 &amp; "'!AJ13:AJ113"), "" )</f>
        <v/>
      </c>
      <c r="CY3" s="199">
        <f t="array" ref="CY3">IF(OR('INPUT DATA'!$F$26="Core Subject (All Tracks)", AND('INPUT DATA'!$F$26="TechPro Elective (All Other Electives)", 'INPUT DATA'!$F$24=11)),INDIRECT("'" &amp; CY1 &amp; "'!AJ13:AJ113"), "")</f>
        <v/>
      </c>
      <c r="CZ3" s="199">
        <f t="array" ref="CZ3">IF(OR('INPUT DATA'!$F$26="Core Subject (All Tracks)", AND('INPUT DATA'!$F$26="TechPro Elective (All Other Electives)", 'INPUT DATA'!$F$24=11)),INDIRECT("'" &amp; CZ1 &amp; "'!AJ13:AJ113"), "")</f>
        <v/>
      </c>
      <c r="DA3" s="199">
        <f t="array" ref="DA3">IF(OR('INPUT DATA'!$F$26="Core Subject (All Tracks)", AND('INPUT DATA'!$F$26="TechPro Elective (All Other Electives)", 'INPUT DATA'!$F$24=11)),INDIRECT("'" &amp; DA1 &amp; "'!AJ13:AJ113"), "")</f>
        <v/>
      </c>
      <c r="DB3" s="199">
        <f t="array" ref="DB3">IF(OR('INPUT DATA'!$F$26="Core Subject (All Tracks)", AND('INPUT DATA'!$F$26="TechPro Elective (All Other Electives)", 'INPUT DATA'!$F$24=11)),INDIRECT("'" &amp; DB1 &amp; "'!AJ13:AJ113"), "")</f>
        <v/>
      </c>
      <c r="DD3" s="219" t="inlineStr">
        <is>
          <t>Academic Elective (All Other Electives)</t>
        </is>
      </c>
      <c r="DE3" s="220" t="inlineStr">
        <is>
          <t>SEMESTRAL GRADE</t>
        </is>
      </c>
      <c r="DF3" s="221" t="inlineStr">
        <is>
          <t>SEMESTRAL GRADE</t>
        </is>
      </c>
      <c r="DI3" s="201" t="inlineStr">
        <is>
          <t>Core Subject (All Tracks)</t>
        </is>
      </c>
      <c r="DJ3" s="202" t="inlineStr">
        <is>
          <t>CORE</t>
        </is>
      </c>
      <c r="DK3" s="202" t="inlineStr">
        <is>
          <t>Mabisang Komunikasyon</t>
        </is>
      </c>
      <c r="DL3" s="202" t="n">
        <v>4</v>
      </c>
      <c r="DM3" s="202" t="n">
        <v>0</v>
      </c>
      <c r="DN3" s="203" t="n">
        <v>11</v>
      </c>
      <c r="DZ3" s="350" t="n"/>
    </row>
    <row r="4">
      <c r="U4" s="206" t="n"/>
      <c r="AP4" s="206" t="n"/>
      <c r="BK4" s="206" t="n"/>
      <c r="CF4" s="206" t="n"/>
      <c r="CH4" s="197" t="inlineStr">
        <is>
          <t>Academic Elective (Field Experience / Exposure, and Sports and Arts)</t>
        </is>
      </c>
      <c r="CI4" s="197">
        <f>CI$1&amp;" ("&amp;CL4*100&amp;"%)"</f>
        <v/>
      </c>
      <c r="CJ4" s="197">
        <f>CJ$1&amp;" ("&amp;CM4*100&amp;"%)"</f>
        <v/>
      </c>
      <c r="CK4" s="197">
        <f>CK$1&amp;" ("&amp;CN4*100&amp;"%)"</f>
        <v/>
      </c>
      <c r="CL4" s="198" t="n">
        <v>0.15</v>
      </c>
      <c r="CM4" s="198" t="n">
        <v>0.7</v>
      </c>
      <c r="CN4" s="198" t="n">
        <v>0.15</v>
      </c>
      <c r="CO4" s="198" t="n">
        <v>1</v>
      </c>
      <c r="CP4" s="198" t="n">
        <v>2</v>
      </c>
      <c r="CQ4" s="199" t="n">
        <v>14.01</v>
      </c>
      <c r="CR4" s="199" t="n">
        <v>63</v>
      </c>
      <c r="CT4" s="199" t="n">
        <v>2</v>
      </c>
      <c r="DD4" s="219" t="inlineStr">
        <is>
          <t>Academic Elective (Field Experience / Exposure, and Sports and Arts)</t>
        </is>
      </c>
      <c r="DE4" s="220" t="inlineStr">
        <is>
          <t>SEMESTRAL GRADE</t>
        </is>
      </c>
      <c r="DF4" s="221" t="inlineStr">
        <is>
          <t>SEMESTRAL GRADE</t>
        </is>
      </c>
      <c r="DI4" s="201" t="inlineStr">
        <is>
          <t>Core Subject (All Tracks)</t>
        </is>
      </c>
      <c r="DJ4" s="202" t="inlineStr">
        <is>
          <t>CORE</t>
        </is>
      </c>
      <c r="DK4" s="202" t="inlineStr">
        <is>
          <t>General Mathematics</t>
        </is>
      </c>
      <c r="DL4" s="202" t="n">
        <v>4</v>
      </c>
      <c r="DM4" s="202" t="n">
        <v>0</v>
      </c>
      <c r="DN4" s="203" t="n">
        <v>11</v>
      </c>
    </row>
    <row r="5">
      <c r="U5" s="206" t="n"/>
      <c r="AP5" s="206" t="n"/>
      <c r="BK5" s="206" t="n"/>
      <c r="CF5" s="206" t="n"/>
      <c r="CH5" s="197" t="inlineStr">
        <is>
          <t>TechPro Elective (All Other Electives)</t>
        </is>
      </c>
      <c r="CI5" s="197">
        <f>CI$1&amp;" ("&amp;CL5*100&amp;"%)"</f>
        <v/>
      </c>
      <c r="CJ5" s="197">
        <f>CJ$1&amp;" ("&amp;CM5*100&amp;"%)"</f>
        <v/>
      </c>
      <c r="CK5" s="197">
        <f>CK$1&amp;" ("&amp;CN5*100&amp;"%)"</f>
        <v/>
      </c>
      <c r="CL5" s="198" t="n">
        <v>0.15</v>
      </c>
      <c r="CM5" s="198" t="n">
        <v>0.65</v>
      </c>
      <c r="CN5" s="198" t="n">
        <v>0.2</v>
      </c>
      <c r="CO5" s="198" t="n">
        <v>4</v>
      </c>
      <c r="CP5" s="198" t="n">
        <v>2</v>
      </c>
      <c r="CQ5" s="199" t="n">
        <v>18.68</v>
      </c>
      <c r="CR5" s="199" t="n">
        <v>64</v>
      </c>
      <c r="CT5" s="199" t="n">
        <v>3</v>
      </c>
      <c r="DD5" s="219" t="inlineStr">
        <is>
          <t>TechPro Elective (All Other Electives)</t>
        </is>
      </c>
      <c r="DE5" s="220" t="inlineStr">
        <is>
          <t>QUARTERLY AVERAGE</t>
        </is>
      </c>
      <c r="DF5" s="221" t="inlineStr">
        <is>
          <t>SEMESTRAL GRADE</t>
        </is>
      </c>
      <c r="DI5" s="201" t="inlineStr">
        <is>
          <t>Core Subject (All Tracks)</t>
        </is>
      </c>
      <c r="DJ5" s="202" t="inlineStr">
        <is>
          <t>CORE</t>
        </is>
      </c>
      <c r="DK5" s="202" t="inlineStr">
        <is>
          <t>General Science</t>
        </is>
      </c>
      <c r="DL5" s="202" t="n">
        <v>4</v>
      </c>
      <c r="DM5" s="202" t="n">
        <v>0</v>
      </c>
      <c r="DN5" s="203" t="n">
        <v>11</v>
      </c>
    </row>
    <row r="6" ht="17.25" customHeight="1" thickBot="1">
      <c r="U6" s="206" t="n"/>
      <c r="AP6" s="206" t="n"/>
      <c r="BK6" s="206" t="n"/>
      <c r="CF6" s="206" t="n"/>
      <c r="CH6" s="197" t="inlineStr">
        <is>
          <t>TechPro Elective (Work Immersion)</t>
        </is>
      </c>
      <c r="CI6" s="197">
        <f>CI$1&amp;" ("&amp;CL6*100&amp;"%)"</f>
        <v/>
      </c>
      <c r="CJ6" s="197">
        <f>CJ$1&amp;" ("&amp;CM6*100&amp;"%)"</f>
        <v/>
      </c>
      <c r="CK6" s="207" t="inlineStr">
        <is>
          <t>- -</t>
        </is>
      </c>
      <c r="CL6" s="198" t="n">
        <v>0.2</v>
      </c>
      <c r="CM6" s="198" t="n">
        <v>0.8</v>
      </c>
      <c r="CN6" s="198" t="n"/>
      <c r="CO6" s="198" t="n"/>
      <c r="CP6" s="198" t="n">
        <v>2</v>
      </c>
      <c r="CQ6" s="199" t="n">
        <v>23.35</v>
      </c>
      <c r="CR6" s="199" t="n">
        <v>65</v>
      </c>
      <c r="CT6" s="199" t="n">
        <v>4</v>
      </c>
      <c r="DD6" s="222" t="inlineStr">
        <is>
          <t>TechPro Elective (Work Immersion)</t>
        </is>
      </c>
      <c r="DE6" s="223" t="inlineStr">
        <is>
          <t>QUARTERLY AVERAGE</t>
        </is>
      </c>
      <c r="DF6" s="224" t="inlineStr">
        <is>
          <t>SEMESTRAL GRADE</t>
        </is>
      </c>
      <c r="DI6" s="201" t="inlineStr">
        <is>
          <t>Core Subject (All Tracks)</t>
        </is>
      </c>
      <c r="DJ6" s="202" t="inlineStr">
        <is>
          <t>CORE</t>
        </is>
      </c>
      <c r="DK6" s="202" t="inlineStr">
        <is>
          <t>Life and Career Skills</t>
        </is>
      </c>
      <c r="DL6" s="202" t="n">
        <v>4</v>
      </c>
      <c r="DM6" s="202" t="n">
        <v>0</v>
      </c>
      <c r="DN6" s="203" t="n">
        <v>11</v>
      </c>
    </row>
    <row r="7" ht="17.25" customHeight="1" thickBot="1">
      <c r="U7" s="206" t="n"/>
      <c r="AP7" s="206" t="n"/>
      <c r="BK7" s="206" t="n"/>
      <c r="CF7" s="206" t="n"/>
      <c r="CO7" s="602" t="inlineStr">
        <is>
          <t>↑COMPUTATION↑
OF FINAL GRADES:
2 = Average of 2 quarters
4 = Average of 4 quarters</t>
        </is>
      </c>
      <c r="CQ7" s="199" t="n">
        <v>28.01</v>
      </c>
      <c r="CR7" s="199" t="n">
        <v>66</v>
      </c>
      <c r="CT7" s="199" t="n">
        <v>5</v>
      </c>
      <c r="DI7" s="201" t="inlineStr">
        <is>
          <t>Core Subject (All Tracks)</t>
        </is>
      </c>
      <c r="DJ7" s="202" t="inlineStr">
        <is>
          <t>CORE</t>
        </is>
      </c>
      <c r="DK7" s="202" t="inlineStr">
        <is>
          <t>Pag-aaral ng Kasaysayan at Lipunang Pilipino</t>
        </is>
      </c>
      <c r="DL7" s="202" t="n">
        <v>4</v>
      </c>
      <c r="DM7" s="202" t="n">
        <v>0</v>
      </c>
      <c r="DN7" s="203" t="n">
        <v>11</v>
      </c>
    </row>
    <row r="8">
      <c r="U8" s="206" t="n"/>
      <c r="AP8" s="206" t="n"/>
      <c r="BK8" s="206" t="n"/>
      <c r="CF8" s="206" t="n"/>
      <c r="CQ8" s="199" t="n">
        <v>32.68</v>
      </c>
      <c r="CR8" s="199" t="n">
        <v>67</v>
      </c>
      <c r="CT8" s="199" t="n">
        <v>6</v>
      </c>
      <c r="DD8" s="225" t="inlineStr">
        <is>
          <t>Selected Track</t>
        </is>
      </c>
      <c r="DI8" s="201" t="inlineStr">
        <is>
          <t>Academic Elective (All Other Electives)</t>
        </is>
      </c>
      <c r="DJ8" s="202" t="inlineStr">
        <is>
          <t>ARTS, SOCIAL SCIENCE AND HUMANITIES CLUSTER</t>
        </is>
      </c>
      <c r="DK8" s="202" t="inlineStr">
        <is>
          <t>Arts 1 (Creative Industries - Visual Art, Literary Art, Media Art, Applied Art, and Traditional Art)</t>
        </is>
      </c>
      <c r="DL8" s="202" t="n">
        <v>2</v>
      </c>
      <c r="DM8" s="202" t="n">
        <v>0</v>
      </c>
      <c r="DN8" s="203" t="n">
        <v>11</v>
      </c>
    </row>
    <row r="9">
      <c r="U9" s="206" t="n"/>
      <c r="AP9" s="206" t="n"/>
      <c r="BK9" s="206" t="n"/>
      <c r="CF9" s="206" t="n"/>
      <c r="CQ9" s="199" t="n">
        <v>37.34</v>
      </c>
      <c r="CR9" s="199" t="n">
        <v>68</v>
      </c>
      <c r="CT9" s="199" t="n">
        <v>7</v>
      </c>
      <c r="DD9" s="226">
        <f>'INPUT DATA'!F26</f>
        <v/>
      </c>
      <c r="DI9" s="201" t="inlineStr">
        <is>
          <t>Academic Elective (All Other Electives)</t>
        </is>
      </c>
      <c r="DJ9" s="202" t="inlineStr">
        <is>
          <t>ARTS, SOCIAL SCIENCE AND HUMANITIES CLUSTER</t>
        </is>
      </c>
      <c r="DK9" s="202" t="inlineStr">
        <is>
          <t>Arts 2 (Creative Industries - Music, Dance, and Theater)</t>
        </is>
      </c>
      <c r="DL9" s="202" t="n">
        <v>2</v>
      </c>
      <c r="DM9" s="202" t="n">
        <v>0</v>
      </c>
      <c r="DN9" s="203" t="n">
        <v>11</v>
      </c>
    </row>
    <row r="10">
      <c r="U10" s="206" t="n"/>
      <c r="AP10" s="206" t="n"/>
      <c r="BK10" s="206" t="n"/>
      <c r="CF10" s="206" t="n"/>
      <c r="CQ10" s="199" t="n">
        <v>42.01</v>
      </c>
      <c r="CR10" s="199" t="n">
        <v>69</v>
      </c>
      <c r="CT10" s="199" t="n">
        <v>8</v>
      </c>
      <c r="DD10" s="227" t="inlineStr">
        <is>
          <t>Selected Grade Level</t>
        </is>
      </c>
      <c r="DI10" s="201" t="inlineStr">
        <is>
          <t>Academic Elective (All Other Electives)</t>
        </is>
      </c>
      <c r="DJ10" s="202" t="inlineStr">
        <is>
          <t>ARTS, SOCIAL SCIENCE AND HUMANITIES CLUSTER</t>
        </is>
      </c>
      <c r="DK10" s="202" t="inlineStr">
        <is>
          <t>Filipino Identity Through the Arts</t>
        </is>
      </c>
      <c r="DL10" s="202" t="n">
        <v>2</v>
      </c>
      <c r="DM10" s="202" t="n">
        <v>0</v>
      </c>
      <c r="DN10" s="203" t="n">
        <v>11</v>
      </c>
    </row>
    <row r="11" ht="17.25" customHeight="1" thickBot="1">
      <c r="U11" s="206" t="n"/>
      <c r="AP11" s="206" t="n"/>
      <c r="BK11" s="206" t="n"/>
      <c r="CF11" s="206" t="n"/>
      <c r="CQ11" s="199" t="n">
        <v>46.67</v>
      </c>
      <c r="CR11" s="199" t="n">
        <v>70</v>
      </c>
      <c r="CT11" s="199" t="n">
        <v>9</v>
      </c>
      <c r="DD11" s="228">
        <f>'INPUT DATA'!F24</f>
        <v/>
      </c>
      <c r="DI11" s="201" t="inlineStr">
        <is>
          <t>Academic Elective (All Other Electives)</t>
        </is>
      </c>
      <c r="DJ11" s="202" t="inlineStr">
        <is>
          <t>ARTS, SOCIAL SCIENCE AND HUMANITIES CLUSTER</t>
        </is>
      </c>
      <c r="DK11" s="202" t="inlineStr">
        <is>
          <t>Leadership and Mangement in the Arts</t>
        </is>
      </c>
      <c r="DL11" s="202" t="n">
        <v>2</v>
      </c>
      <c r="DM11" s="202" t="n">
        <v>0</v>
      </c>
      <c r="DN11" s="203" t="n">
        <v>11</v>
      </c>
    </row>
    <row r="12" ht="17.25" customHeight="1" thickBot="1">
      <c r="U12" s="206" t="n"/>
      <c r="AP12" s="206" t="n"/>
      <c r="BK12" s="206" t="n"/>
      <c r="CF12" s="206" t="n"/>
      <c r="CQ12" s="199" t="n">
        <v>51.34</v>
      </c>
      <c r="CR12" s="199" t="n">
        <v>71</v>
      </c>
      <c r="CT12" s="199" t="n">
        <v>10</v>
      </c>
      <c r="DD12" s="208" t="n"/>
      <c r="DI12" s="201" t="inlineStr">
        <is>
          <t>Academic Elective (All Other Electives)</t>
        </is>
      </c>
      <c r="DJ12" s="202" t="inlineStr">
        <is>
          <t>ARTS, SOCIAL SCIENCE AND HUMANITIES CLUSTER</t>
        </is>
      </c>
      <c r="DK12" s="202" t="inlineStr">
        <is>
          <t>Citizenship and Civic Engagement</t>
        </is>
      </c>
      <c r="DL12" s="202" t="n">
        <v>2</v>
      </c>
      <c r="DM12" s="202" t="n">
        <v>2</v>
      </c>
      <c r="DN12" s="203" t="inlineStr">
        <is>
          <t>11/12</t>
        </is>
      </c>
    </row>
    <row r="13">
      <c r="U13" s="206" t="n"/>
      <c r="AP13" s="206" t="n"/>
      <c r="BK13" s="206" t="n"/>
      <c r="CF13" s="206" t="n"/>
      <c r="CQ13" s="199" t="n">
        <v>56.01</v>
      </c>
      <c r="CR13" s="199" t="n">
        <v>72</v>
      </c>
      <c r="CT13" s="199" t="n">
        <v>11</v>
      </c>
      <c r="DD13" s="232" t="inlineStr">
        <is>
          <t>Elective Subjects</t>
        </is>
      </c>
      <c r="DI13" s="201" t="inlineStr">
        <is>
          <t>Academic Elective (All Other Electives)</t>
        </is>
      </c>
      <c r="DJ13" s="202" t="inlineStr">
        <is>
          <t>ARTS, SOCIAL SCIENCE AND HUMANITIES CLUSTER</t>
        </is>
      </c>
      <c r="DK13" s="202" t="inlineStr">
        <is>
          <t>Contemporary Literature 1</t>
        </is>
      </c>
      <c r="DL13" s="202" t="n">
        <v>2</v>
      </c>
      <c r="DM13" s="202" t="n">
        <v>2</v>
      </c>
      <c r="DN13" s="203" t="inlineStr">
        <is>
          <t>11/12</t>
        </is>
      </c>
    </row>
    <row r="14">
      <c r="U14" s="206" t="n"/>
      <c r="AP14" s="206" t="n"/>
      <c r="BK14" s="206" t="n"/>
      <c r="CF14" s="206" t="n"/>
      <c r="CQ14" s="199" t="n">
        <v>60.67</v>
      </c>
      <c r="CR14" s="199" t="n">
        <v>73</v>
      </c>
      <c r="CT14" s="199" t="n">
        <v>12</v>
      </c>
      <c r="DD14" s="233">
        <f t="array" ref="DD14:DD64">IFERROR(_xlfn._xlws.FILTER( DK2:DK140, ISNUMBER(SEARCH(DD11, DN2:DN140)) * (DI2:DI140 = DD9)),"Input Grade Level and Select Subject Type")</f>
        <v/>
      </c>
      <c r="DI14" s="201" t="inlineStr">
        <is>
          <t>Academic Elective (All Other Electives)</t>
        </is>
      </c>
      <c r="DJ14" s="202" t="inlineStr">
        <is>
          <t>ARTS, SOCIAL SCIENCE AND HUMANITIES CLUSTER</t>
        </is>
      </c>
      <c r="DK14" s="202" t="inlineStr">
        <is>
          <t>Contemporary Literature 2</t>
        </is>
      </c>
      <c r="DL14" s="202" t="n">
        <v>2</v>
      </c>
      <c r="DM14" s="202" t="n">
        <v>2</v>
      </c>
      <c r="DN14" s="203" t="inlineStr">
        <is>
          <t>11/12</t>
        </is>
      </c>
    </row>
    <row r="15">
      <c r="U15" s="206" t="n"/>
      <c r="AP15" s="206" t="n"/>
      <c r="BK15" s="206" t="n"/>
      <c r="CF15" s="206" t="n"/>
      <c r="CQ15" s="199" t="n">
        <v>65.34</v>
      </c>
      <c r="CR15" s="199" t="n">
        <v>74</v>
      </c>
      <c r="CT15" s="199" t="n">
        <v>13</v>
      </c>
      <c r="DD15" s="233" t="inlineStr">
        <is>
          <t>Barbering Services</t>
        </is>
      </c>
      <c r="DI15" s="201" t="inlineStr">
        <is>
          <t>Academic Elective (All Other Electives)</t>
        </is>
      </c>
      <c r="DJ15" s="202" t="inlineStr">
        <is>
          <t>ARTS, SOCIAL SCIENCE AND HUMANITIES CLUSTER</t>
        </is>
      </c>
      <c r="DK15" s="202" t="inlineStr">
        <is>
          <t>Creative Composition 1</t>
        </is>
      </c>
      <c r="DL15" s="202" t="n">
        <v>2</v>
      </c>
      <c r="DM15" s="202" t="n">
        <v>2</v>
      </c>
      <c r="DN15" s="203" t="inlineStr">
        <is>
          <t>11/12</t>
        </is>
      </c>
    </row>
    <row r="16">
      <c r="U16" s="206" t="n"/>
      <c r="AP16" s="206" t="n"/>
      <c r="BK16" s="206" t="n"/>
      <c r="CF16" s="206" t="n"/>
      <c r="CQ16" s="199" t="n">
        <v>70</v>
      </c>
      <c r="CR16" s="199" t="n">
        <v>75</v>
      </c>
      <c r="CT16" s="199" t="n">
        <v>14</v>
      </c>
      <c r="DD16" s="233" t="inlineStr">
        <is>
          <t>Caregiving (Adult Care)</t>
        </is>
      </c>
      <c r="DI16" s="201" t="inlineStr">
        <is>
          <t>Academic Elective (All Other Electives)</t>
        </is>
      </c>
      <c r="DJ16" s="202" t="inlineStr">
        <is>
          <t>ARTS, SOCIAL SCIENCE AND HUMANITIES CLUSTER</t>
        </is>
      </c>
      <c r="DK16" s="202" t="inlineStr">
        <is>
          <t>Creative Composition 2</t>
        </is>
      </c>
      <c r="DL16" s="202" t="n">
        <v>0</v>
      </c>
      <c r="DM16" s="202" t="n">
        <v>2</v>
      </c>
      <c r="DN16" s="203" t="n">
        <v>12</v>
      </c>
    </row>
    <row r="17">
      <c r="U17" s="206" t="n"/>
      <c r="AP17" s="206" t="n"/>
      <c r="BK17" s="206" t="n"/>
      <c r="CF17" s="206" t="n"/>
      <c r="CQ17" s="199" t="n">
        <v>71.18000000000001</v>
      </c>
      <c r="CR17" s="199" t="n">
        <v>76</v>
      </c>
      <c r="CT17" s="199" t="n">
        <v>15</v>
      </c>
      <c r="DD17" s="233" t="inlineStr">
        <is>
          <t>Caregiving (Child Care)</t>
        </is>
      </c>
      <c r="DI17" s="201" t="inlineStr">
        <is>
          <t>Academic Elective (All Other Electives)</t>
        </is>
      </c>
      <c r="DJ17" s="202" t="inlineStr">
        <is>
          <t>ARTS, SOCIAL SCIENCE AND HUMANITIES CLUSTER</t>
        </is>
      </c>
      <c r="DK17" s="202" t="inlineStr">
        <is>
          <t>Filipino 1 (Wika at Komunikasyon sa Akademikong Filipino)</t>
        </is>
      </c>
      <c r="DL17" s="202" t="n">
        <v>2</v>
      </c>
      <c r="DM17" s="202" t="n">
        <v>2</v>
      </c>
      <c r="DN17" s="203" t="inlineStr">
        <is>
          <t>11/12</t>
        </is>
      </c>
    </row>
    <row r="18">
      <c r="U18" s="206" t="n"/>
      <c r="AP18" s="206" t="n"/>
      <c r="BK18" s="206" t="n"/>
      <c r="CF18" s="206" t="n"/>
      <c r="CQ18" s="199" t="n">
        <v>72.36</v>
      </c>
      <c r="CR18" s="199" t="n">
        <v>77</v>
      </c>
      <c r="CT18" s="199" t="n">
        <v>16</v>
      </c>
      <c r="DD18" s="233" t="inlineStr">
        <is>
          <t>Hairdressing Services</t>
        </is>
      </c>
      <c r="DI18" s="201" t="inlineStr">
        <is>
          <t>Academic Elective (All Other Electives)</t>
        </is>
      </c>
      <c r="DJ18" s="202" t="inlineStr">
        <is>
          <t>ARTS, SOCIAL SCIENCE AND HUMANITIES CLUSTER</t>
        </is>
      </c>
      <c r="DK18" s="202" t="inlineStr">
        <is>
          <t>Filipino 2 (Filipino para sa Larang Teknikal-Propesyonal)</t>
        </is>
      </c>
      <c r="DL18" s="202" t="n">
        <v>2</v>
      </c>
      <c r="DM18" s="202" t="n">
        <v>2</v>
      </c>
      <c r="DN18" s="203" t="inlineStr">
        <is>
          <t>11/12</t>
        </is>
      </c>
    </row>
    <row r="19">
      <c r="U19" s="206" t="n"/>
      <c r="AP19" s="206" t="n"/>
      <c r="BK19" s="206" t="n"/>
      <c r="CF19" s="206" t="n"/>
      <c r="CQ19" s="199" t="n">
        <v>73.54000000000001</v>
      </c>
      <c r="CR19" s="199" t="n">
        <v>78</v>
      </c>
      <c r="CT19" s="199" t="n">
        <v>17</v>
      </c>
      <c r="DD19" s="233" t="inlineStr">
        <is>
          <t>Wellness Services (Hilot/Massage)</t>
        </is>
      </c>
      <c r="DI19" s="201" t="inlineStr">
        <is>
          <t>Academic Elective (All Other Electives)</t>
        </is>
      </c>
      <c r="DJ19" s="202" t="inlineStr">
        <is>
          <t>ARTS, SOCIAL SCIENCE AND HUMANITIES CLUSTER</t>
        </is>
      </c>
      <c r="DK19" s="202" t="inlineStr">
        <is>
          <t>Filipino 2 (Filipino sa Isports)</t>
        </is>
      </c>
      <c r="DL19" s="202" t="n">
        <v>2</v>
      </c>
      <c r="DM19" s="202" t="n">
        <v>2</v>
      </c>
      <c r="DN19" s="203" t="inlineStr">
        <is>
          <t>11/12</t>
        </is>
      </c>
    </row>
    <row r="20">
      <c r="U20" s="206" t="n"/>
      <c r="AP20" s="206" t="n"/>
      <c r="BK20" s="206" t="n"/>
      <c r="CF20" s="206" t="n"/>
      <c r="CQ20" s="199" t="n">
        <v>74.72</v>
      </c>
      <c r="CR20" s="199" t="n">
        <v>79</v>
      </c>
      <c r="CT20" s="199" t="n">
        <v>18</v>
      </c>
      <c r="DD20" s="233" t="inlineStr">
        <is>
          <t>Agricultural Crops Production</t>
        </is>
      </c>
      <c r="DI20" s="201" t="inlineStr">
        <is>
          <t>Academic Elective (All Other Electives)</t>
        </is>
      </c>
      <c r="DJ20" s="202" t="inlineStr">
        <is>
          <t>ARTS, SOCIAL SCIENCE AND HUMANITIES CLUSTER</t>
        </is>
      </c>
      <c r="DK20" s="202" t="inlineStr">
        <is>
          <t>Filipino 2 (Filipino sa Sining at Disenyo)</t>
        </is>
      </c>
      <c r="DL20" s="202" t="n">
        <v>2</v>
      </c>
      <c r="DM20" s="202" t="n">
        <v>2</v>
      </c>
      <c r="DN20" s="203" t="inlineStr">
        <is>
          <t>11/12</t>
        </is>
      </c>
    </row>
    <row r="21">
      <c r="U21" s="206" t="n"/>
      <c r="AP21" s="206" t="n"/>
      <c r="BK21" s="206" t="n"/>
      <c r="CF21" s="206" t="n"/>
      <c r="CQ21" s="199" t="n">
        <v>75.90000000000001</v>
      </c>
      <c r="CR21" s="199" t="n">
        <v>80</v>
      </c>
      <c r="CT21" s="199" t="n">
        <v>19</v>
      </c>
      <c r="DD21" s="233" t="inlineStr">
        <is>
          <t>Agro-entrepreneurship</t>
        </is>
      </c>
      <c r="DI21" s="201" t="inlineStr">
        <is>
          <t>Academic Elective (All Other Electives)</t>
        </is>
      </c>
      <c r="DJ21" s="202" t="inlineStr">
        <is>
          <t>ARTS, SOCIAL SCIENCE AND HUMANITIES CLUSTER</t>
        </is>
      </c>
      <c r="DK21" s="202" t="inlineStr">
        <is>
          <t>Introduction to Philosophy</t>
        </is>
      </c>
      <c r="DL21" s="202" t="n">
        <v>2</v>
      </c>
      <c r="DM21" s="202" t="n">
        <v>2</v>
      </c>
      <c r="DN21" s="203" t="inlineStr">
        <is>
          <t>11/12</t>
        </is>
      </c>
    </row>
    <row r="22">
      <c r="U22" s="206" t="n"/>
      <c r="AP22" s="206" t="n"/>
      <c r="BK22" s="206" t="n"/>
      <c r="CF22" s="206" t="n"/>
      <c r="CQ22" s="199" t="n">
        <v>77.08</v>
      </c>
      <c r="CR22" s="199" t="n">
        <v>81</v>
      </c>
      <c r="CT22" s="199" t="n">
        <v>20</v>
      </c>
      <c r="DD22" s="233" t="inlineStr">
        <is>
          <t>Aquaculture</t>
        </is>
      </c>
      <c r="DI22" s="201" t="inlineStr">
        <is>
          <t>Academic Elective (All Other Electives)</t>
        </is>
      </c>
      <c r="DJ22" s="202" t="inlineStr">
        <is>
          <t>ARTS, SOCIAL SCIENCE AND HUMANITIES CLUSTER</t>
        </is>
      </c>
      <c r="DK22" s="202" t="inlineStr">
        <is>
          <t>Malikhaing Pagsulat</t>
        </is>
      </c>
      <c r="DL22" s="202" t="n">
        <v>2</v>
      </c>
      <c r="DM22" s="202" t="n">
        <v>2</v>
      </c>
      <c r="DN22" s="203" t="inlineStr">
        <is>
          <t>11/12</t>
        </is>
      </c>
    </row>
    <row r="23">
      <c r="U23" s="206" t="n"/>
      <c r="AP23" s="206" t="n"/>
      <c r="BK23" s="206" t="n"/>
      <c r="CF23" s="206" t="n"/>
      <c r="CQ23" s="199" t="n">
        <v>78.26000000000001</v>
      </c>
      <c r="CR23" s="199" t="n">
        <v>82</v>
      </c>
      <c r="CT23" s="199" t="n">
        <v>21</v>
      </c>
      <c r="DD23" s="233" t="inlineStr">
        <is>
          <t>Fish Capture Operation</t>
        </is>
      </c>
      <c r="DI23" s="201" t="inlineStr">
        <is>
          <t>Academic Elective (All Other Electives)</t>
        </is>
      </c>
      <c r="DJ23" s="202" t="inlineStr">
        <is>
          <t>ARTS, SOCIAL SCIENCE AND HUMANITIES CLUSTER</t>
        </is>
      </c>
      <c r="DK23" s="202" t="inlineStr">
        <is>
          <t>Philippine Governance (Philippine Politics and Governance)</t>
        </is>
      </c>
      <c r="DL23" s="202" t="n">
        <v>2</v>
      </c>
      <c r="DM23" s="202" t="n">
        <v>2</v>
      </c>
      <c r="DN23" s="203" t="inlineStr">
        <is>
          <t>11/12</t>
        </is>
      </c>
    </row>
    <row r="24">
      <c r="U24" s="206" t="n"/>
      <c r="AP24" s="206" t="n"/>
      <c r="BK24" s="206" t="n"/>
      <c r="CF24" s="206" t="n"/>
      <c r="CQ24" s="199" t="n">
        <v>79.44</v>
      </c>
      <c r="CR24" s="199" t="n">
        <v>83</v>
      </c>
      <c r="CT24" s="199" t="n">
        <v>22</v>
      </c>
      <c r="DD24" s="233" t="inlineStr">
        <is>
          <t>Food Processing</t>
        </is>
      </c>
      <c r="DI24" s="201" t="inlineStr">
        <is>
          <t>Academic Elective (All Other Electives)</t>
        </is>
      </c>
      <c r="DJ24" s="202" t="inlineStr">
        <is>
          <t>ARTS, SOCIAL SCIENCE AND HUMANITIES CLUSTER</t>
        </is>
      </c>
      <c r="DK24" s="202" t="inlineStr">
        <is>
          <t>Social Sciences (Theory and Practice)</t>
        </is>
      </c>
      <c r="DL24" s="202" t="n">
        <v>2</v>
      </c>
      <c r="DM24" s="202" t="n">
        <v>2</v>
      </c>
      <c r="DN24" s="203" t="inlineStr">
        <is>
          <t>11/12</t>
        </is>
      </c>
    </row>
    <row r="25">
      <c r="U25" s="206" t="n"/>
      <c r="AP25" s="206" t="n"/>
      <c r="BK25" s="206" t="n"/>
      <c r="CF25" s="206" t="n"/>
      <c r="CQ25" s="199" t="n">
        <v>80.62</v>
      </c>
      <c r="CR25" s="199" t="n">
        <v>84</v>
      </c>
      <c r="CT25" s="199" t="n">
        <v>23</v>
      </c>
      <c r="DD25" s="233" t="inlineStr">
        <is>
          <t>Organic Agriculture Production</t>
        </is>
      </c>
      <c r="DI25" s="201" t="inlineStr">
        <is>
          <t>Academic Elective (All Other Electives)</t>
        </is>
      </c>
      <c r="DJ25" s="202" t="inlineStr">
        <is>
          <t>BUSINESS AND ENTREPRENEURSHIP</t>
        </is>
      </c>
      <c r="DK25" s="202" t="inlineStr">
        <is>
          <t>Business 1 (Basic Accounting)</t>
        </is>
      </c>
      <c r="DL25" s="202" t="n">
        <v>2</v>
      </c>
      <c r="DM25" s="202" t="n">
        <v>2</v>
      </c>
      <c r="DN25" s="203" t="inlineStr">
        <is>
          <t>11/12</t>
        </is>
      </c>
    </row>
    <row r="26">
      <c r="U26" s="206" t="n"/>
      <c r="AP26" s="206" t="n"/>
      <c r="BK26" s="206" t="n"/>
      <c r="CF26" s="206" t="n"/>
      <c r="CQ26" s="199" t="n">
        <v>81.8</v>
      </c>
      <c r="CR26" s="199" t="n">
        <v>85</v>
      </c>
      <c r="CT26" s="199" t="n">
        <v>24</v>
      </c>
      <c r="DD26" s="233" t="inlineStr">
        <is>
          <t>Poultry Production (Chicken)</t>
        </is>
      </c>
      <c r="DI26" s="201" t="inlineStr">
        <is>
          <t>Academic Elective (All Other Electives)</t>
        </is>
      </c>
      <c r="DJ26" s="202" t="inlineStr">
        <is>
          <t>BUSINESS AND ENTREPRENEURSHIP</t>
        </is>
      </c>
      <c r="DK26" s="202" t="inlineStr">
        <is>
          <t>Business 2 (Business Finance and Income Taxation)</t>
        </is>
      </c>
      <c r="DL26" s="202" t="n">
        <v>2</v>
      </c>
      <c r="DM26" s="202" t="n">
        <v>2</v>
      </c>
      <c r="DN26" s="203" t="inlineStr">
        <is>
          <t>11/12</t>
        </is>
      </c>
    </row>
    <row r="27">
      <c r="U27" s="206" t="n"/>
      <c r="AP27" s="206" t="n"/>
      <c r="BK27" s="206" t="n"/>
      <c r="CF27" s="206" t="n"/>
      <c r="CQ27" s="199" t="n">
        <v>82.98</v>
      </c>
      <c r="CR27" s="199" t="n">
        <v>86</v>
      </c>
      <c r="CT27" s="199" t="n">
        <v>25</v>
      </c>
      <c r="DD27" s="233" t="inlineStr">
        <is>
          <t>Ruminants Production</t>
        </is>
      </c>
      <c r="DI27" s="201" t="inlineStr">
        <is>
          <t>Academic Elective (All Other Electives)</t>
        </is>
      </c>
      <c r="DJ27" s="202" t="inlineStr">
        <is>
          <t>BUSINESS AND ENTREPRENEURSHIP</t>
        </is>
      </c>
      <c r="DK27" s="202" t="inlineStr">
        <is>
          <t>Business 3 (Business Economics)</t>
        </is>
      </c>
      <c r="DL27" s="202" t="n">
        <v>2</v>
      </c>
      <c r="DM27" s="202" t="n">
        <v>2</v>
      </c>
      <c r="DN27" s="203" t="inlineStr">
        <is>
          <t>11/12</t>
        </is>
      </c>
    </row>
    <row r="28">
      <c r="U28" s="206" t="n"/>
      <c r="AP28" s="206" t="n"/>
      <c r="BK28" s="206" t="n"/>
      <c r="CF28" s="206" t="n"/>
      <c r="CQ28" s="199" t="n">
        <v>84.16</v>
      </c>
      <c r="CR28" s="199" t="n">
        <v>87</v>
      </c>
      <c r="CT28" s="199" t="n">
        <v>26</v>
      </c>
      <c r="DD28" s="233" t="inlineStr">
        <is>
          <t>Swine Production</t>
        </is>
      </c>
      <c r="DI28" s="201" t="inlineStr">
        <is>
          <t>Academic Elective (All Other Electives)</t>
        </is>
      </c>
      <c r="DJ28" s="202" t="inlineStr">
        <is>
          <t>BUSINESS AND ENTREPRENEURSHIP</t>
        </is>
      </c>
      <c r="DK28" s="202" t="inlineStr">
        <is>
          <t>Contemporary Marketing</t>
        </is>
      </c>
      <c r="DL28" s="202" t="n">
        <v>2</v>
      </c>
      <c r="DM28" s="202" t="n">
        <v>2</v>
      </c>
      <c r="DN28" s="203" t="inlineStr">
        <is>
          <t>11/12</t>
        </is>
      </c>
    </row>
    <row r="29">
      <c r="U29" s="206" t="n"/>
      <c r="AP29" s="206" t="n"/>
      <c r="BK29" s="206" t="n"/>
      <c r="CF29" s="206" t="n"/>
      <c r="CQ29" s="199" t="n">
        <v>85.34</v>
      </c>
      <c r="CR29" s="199" t="n">
        <v>88</v>
      </c>
      <c r="CT29" s="199" t="n">
        <v>27</v>
      </c>
      <c r="DD29" s="233" t="inlineStr">
        <is>
          <t>Garments Artisanry</t>
        </is>
      </c>
      <c r="DI29" s="201" t="inlineStr">
        <is>
          <t>Academic Elective (All Other Electives)</t>
        </is>
      </c>
      <c r="DJ29" s="202" t="inlineStr">
        <is>
          <t>BUSINESS AND ENTREPRENEURSHIP</t>
        </is>
      </c>
      <c r="DK29" s="202" t="inlineStr">
        <is>
          <t>Entrepreneurship</t>
        </is>
      </c>
      <c r="DL29" s="202" t="n">
        <v>2</v>
      </c>
      <c r="DM29" s="202" t="n">
        <v>2</v>
      </c>
      <c r="DN29" s="203" t="inlineStr">
        <is>
          <t>11/12</t>
        </is>
      </c>
    </row>
    <row r="30">
      <c r="U30" s="206" t="n"/>
      <c r="AP30" s="206" t="n"/>
      <c r="BK30" s="206" t="n"/>
      <c r="CF30" s="206" t="n"/>
      <c r="CQ30" s="199" t="n">
        <v>86.52</v>
      </c>
      <c r="CR30" s="199" t="n">
        <v>89</v>
      </c>
      <c r="CT30" s="199" t="n">
        <v>28</v>
      </c>
      <c r="DD30" s="233" t="inlineStr">
        <is>
          <t>Handicrafts (Weaving)</t>
        </is>
      </c>
      <c r="DI30" s="201" t="inlineStr">
        <is>
          <t>Academic Elective (All Other Electives)</t>
        </is>
      </c>
      <c r="DJ30" s="202" t="inlineStr">
        <is>
          <t>BUSINESS AND ENTREPRENEURSHIP</t>
        </is>
      </c>
      <c r="DK30" s="202" t="inlineStr">
        <is>
          <t>Introduction to Organization and Management</t>
        </is>
      </c>
      <c r="DL30" s="202" t="n">
        <v>2</v>
      </c>
      <c r="DM30" s="202" t="n">
        <v>2</v>
      </c>
      <c r="DN30" s="203" t="inlineStr">
        <is>
          <t>11/12</t>
        </is>
      </c>
    </row>
    <row r="31">
      <c r="U31" s="206" t="n"/>
      <c r="AP31" s="206" t="n"/>
      <c r="BK31" s="206" t="n"/>
      <c r="CF31" s="206" t="n"/>
      <c r="CQ31" s="199" t="n">
        <v>87.7</v>
      </c>
      <c r="CR31" s="199" t="n">
        <v>90</v>
      </c>
      <c r="CT31" s="199" t="n">
        <v>29</v>
      </c>
      <c r="DD31" s="233" t="inlineStr">
        <is>
          <t>Automotive Servicing (Electrical Repair)</t>
        </is>
      </c>
      <c r="DI31" s="201" t="inlineStr">
        <is>
          <t>Academic Elective (All Other Electives)</t>
        </is>
      </c>
      <c r="DJ31" s="202" t="inlineStr">
        <is>
          <t>SCIENCE, TECHNOLOGY, ENGINEERING AND MATHEMATICS</t>
        </is>
      </c>
      <c r="DK31" s="202" t="inlineStr">
        <is>
          <t>Advanced Mathematics 1</t>
        </is>
      </c>
      <c r="DL31" s="202" t="n">
        <v>0</v>
      </c>
      <c r="DM31" s="202" t="n">
        <v>2</v>
      </c>
      <c r="DN31" s="203" t="n">
        <v>12</v>
      </c>
    </row>
    <row r="32">
      <c r="U32" s="206" t="n"/>
      <c r="AP32" s="206" t="n"/>
      <c r="BK32" s="206" t="n"/>
      <c r="CF32" s="206" t="n"/>
      <c r="CQ32" s="199" t="n">
        <v>88.88</v>
      </c>
      <c r="CR32" s="199" t="n">
        <v>91</v>
      </c>
      <c r="CT32" s="199" t="n">
        <v>30</v>
      </c>
      <c r="DD32" s="233" t="inlineStr">
        <is>
          <t>Automotive Servicing (Engine and Chassis Repairs)</t>
        </is>
      </c>
      <c r="DI32" s="201" t="inlineStr">
        <is>
          <t>Academic Elective (All Other Electives)</t>
        </is>
      </c>
      <c r="DJ32" s="202" t="inlineStr">
        <is>
          <t>SCIENCE, TECHNOLOGY, ENGINEERING AND MATHEMATICS</t>
        </is>
      </c>
      <c r="DK32" s="202" t="inlineStr">
        <is>
          <t>Advanced Mathematics 2</t>
        </is>
      </c>
      <c r="DL32" s="202" t="n">
        <v>0</v>
      </c>
      <c r="DM32" s="202" t="n">
        <v>2</v>
      </c>
      <c r="DN32" s="203" t="n">
        <v>12</v>
      </c>
    </row>
    <row r="33">
      <c r="U33" s="206" t="n"/>
      <c r="AP33" s="206" t="n"/>
      <c r="BK33" s="206" t="n"/>
      <c r="CF33" s="206" t="n"/>
      <c r="CQ33" s="199" t="n">
        <v>90.06</v>
      </c>
      <c r="CR33" s="199" t="n">
        <v>92</v>
      </c>
      <c r="CT33" s="199" t="n">
        <v>31</v>
      </c>
      <c r="DD33" s="233" t="inlineStr">
        <is>
          <t>Driving and Automotive Servicing</t>
        </is>
      </c>
      <c r="DI33" s="201" t="inlineStr">
        <is>
          <t>Academic Elective (All Other Electives)</t>
        </is>
      </c>
      <c r="DJ33" s="202" t="inlineStr">
        <is>
          <t>SCIENCE, TECHNOLOGY, ENGINEERING AND MATHEMATICS</t>
        </is>
      </c>
      <c r="DK33" s="202" t="inlineStr">
        <is>
          <t>Biology 1</t>
        </is>
      </c>
      <c r="DL33" s="202" t="n">
        <v>2</v>
      </c>
      <c r="DM33" s="202" t="n">
        <v>0</v>
      </c>
      <c r="DN33" s="203" t="n">
        <v>11</v>
      </c>
    </row>
    <row r="34">
      <c r="U34" s="206" t="n"/>
      <c r="AP34" s="206" t="n"/>
      <c r="BK34" s="206" t="n"/>
      <c r="CF34" s="206" t="n"/>
      <c r="CQ34" s="199" t="n">
        <v>91.23999999999999</v>
      </c>
      <c r="CR34" s="199" t="n">
        <v>93</v>
      </c>
      <c r="CT34" s="199" t="n">
        <v>32</v>
      </c>
      <c r="DD34" s="233" t="inlineStr">
        <is>
          <t>Motorcycle and Small Engine Servicing</t>
        </is>
      </c>
      <c r="DI34" s="201" t="inlineStr">
        <is>
          <t>Academic Elective (All Other Electives)</t>
        </is>
      </c>
      <c r="DJ34" s="202" t="inlineStr">
        <is>
          <t>SCIENCE, TECHNOLOGY, ENGINEERING AND MATHEMATICS</t>
        </is>
      </c>
      <c r="DK34" s="202" t="inlineStr">
        <is>
          <t>Biology 2</t>
        </is>
      </c>
      <c r="DL34" s="202" t="n">
        <v>2</v>
      </c>
      <c r="DM34" s="202" t="n">
        <v>0</v>
      </c>
      <c r="DN34" s="203" t="n">
        <v>11</v>
      </c>
    </row>
    <row r="35">
      <c r="U35" s="206" t="n"/>
      <c r="AP35" s="206" t="n"/>
      <c r="BK35" s="206" t="n"/>
      <c r="CF35" s="206" t="n"/>
      <c r="CQ35" s="199" t="n">
        <v>92.42</v>
      </c>
      <c r="CR35" s="199" t="n">
        <v>94</v>
      </c>
      <c r="CT35" s="199" t="n">
        <v>33</v>
      </c>
      <c r="DD35" s="233" t="inlineStr">
        <is>
          <t>Carpentry</t>
        </is>
      </c>
      <c r="DI35" s="201" t="inlineStr">
        <is>
          <t>Academic Elective (All Other Electives)</t>
        </is>
      </c>
      <c r="DJ35" s="202" t="inlineStr">
        <is>
          <t>SCIENCE, TECHNOLOGY, ENGINEERING AND MATHEMATICS</t>
        </is>
      </c>
      <c r="DK35" s="202" t="inlineStr">
        <is>
          <t>Biology 3</t>
        </is>
      </c>
      <c r="DL35" s="202" t="n">
        <v>0</v>
      </c>
      <c r="DM35" s="202" t="n">
        <v>2</v>
      </c>
      <c r="DN35" s="203" t="n">
        <v>12</v>
      </c>
    </row>
    <row r="36">
      <c r="U36" s="206" t="n"/>
      <c r="AP36" s="206" t="n"/>
      <c r="BK36" s="206" t="n"/>
      <c r="CF36" s="206" t="n"/>
      <c r="CQ36" s="199" t="n">
        <v>93.59999999999999</v>
      </c>
      <c r="CR36" s="199" t="n">
        <v>95</v>
      </c>
      <c r="CT36" s="199" t="n">
        <v>34</v>
      </c>
      <c r="DD36" s="233" t="inlineStr">
        <is>
          <t>Construction Operation</t>
        </is>
      </c>
      <c r="DI36" s="201" t="inlineStr">
        <is>
          <t>Academic Elective (All Other Electives)</t>
        </is>
      </c>
      <c r="DJ36" s="202" t="inlineStr">
        <is>
          <t>SCIENCE, TECHNOLOGY, ENGINEERING AND MATHEMATICS</t>
        </is>
      </c>
      <c r="DK36" s="202" t="inlineStr">
        <is>
          <t>Biology 4</t>
        </is>
      </c>
      <c r="DL36" s="202" t="n">
        <v>0</v>
      </c>
      <c r="DM36" s="202" t="n">
        <v>2</v>
      </c>
      <c r="DN36" s="203" t="n">
        <v>12</v>
      </c>
    </row>
    <row r="37">
      <c r="U37" s="206" t="n"/>
      <c r="AP37" s="206" t="n"/>
      <c r="BK37" s="206" t="n"/>
      <c r="CF37" s="206" t="n"/>
      <c r="CQ37" s="199" t="n">
        <v>94.78</v>
      </c>
      <c r="CR37" s="199" t="n">
        <v>96</v>
      </c>
      <c r="CT37" s="199" t="n">
        <v>35</v>
      </c>
      <c r="DD37" s="233" t="inlineStr">
        <is>
          <t>Manual Metal Arc Welding</t>
        </is>
      </c>
      <c r="DI37" s="201" t="inlineStr">
        <is>
          <t>Academic Elective (All Other Electives)</t>
        </is>
      </c>
      <c r="DJ37" s="202" t="inlineStr">
        <is>
          <t>SCIENCE, TECHNOLOGY, ENGINEERING AND MATHEMATICS</t>
        </is>
      </c>
      <c r="DK37" s="202" t="inlineStr">
        <is>
          <t>Chemistry 1</t>
        </is>
      </c>
      <c r="DL37" s="202" t="n">
        <v>2</v>
      </c>
      <c r="DM37" s="202" t="n">
        <v>0</v>
      </c>
      <c r="DN37" s="203" t="n">
        <v>11</v>
      </c>
    </row>
    <row r="38">
      <c r="U38" s="206" t="n"/>
      <c r="AP38" s="206" t="n"/>
      <c r="BK38" s="206" t="n"/>
      <c r="CF38" s="206" t="n"/>
      <c r="CQ38" s="199" t="n">
        <v>95.95999999999999</v>
      </c>
      <c r="CR38" s="199" t="n">
        <v>97</v>
      </c>
      <c r="CT38" s="199" t="n">
        <v>36</v>
      </c>
      <c r="DD38" s="233" t="inlineStr">
        <is>
          <t>Technical Drafting</t>
        </is>
      </c>
      <c r="DI38" s="201" t="inlineStr">
        <is>
          <t>Academic Elective (All Other Electives)</t>
        </is>
      </c>
      <c r="DJ38" s="202" t="inlineStr">
        <is>
          <t>SCIENCE, TECHNOLOGY, ENGINEERING AND MATHEMATICS</t>
        </is>
      </c>
      <c r="DK38" s="202" t="inlineStr">
        <is>
          <t>Chemistry 2</t>
        </is>
      </c>
      <c r="DL38" s="202" t="n">
        <v>2</v>
      </c>
      <c r="DM38" s="202" t="n">
        <v>0</v>
      </c>
      <c r="DN38" s="203" t="n">
        <v>11</v>
      </c>
    </row>
    <row r="39">
      <c r="U39" s="206" t="n"/>
      <c r="AP39" s="206" t="n"/>
      <c r="BK39" s="206" t="n"/>
      <c r="CF39" s="206" t="n"/>
      <c r="CQ39" s="199" t="n">
        <v>97.14</v>
      </c>
      <c r="CR39" s="199" t="n">
        <v>98</v>
      </c>
      <c r="CT39" s="199" t="n">
        <v>37</v>
      </c>
      <c r="DD39" s="233" t="inlineStr">
        <is>
          <t>Animation</t>
        </is>
      </c>
      <c r="DI39" s="201" t="inlineStr">
        <is>
          <t>Academic Elective (All Other Electives)</t>
        </is>
      </c>
      <c r="DJ39" s="202" t="inlineStr">
        <is>
          <t>SCIENCE, TECHNOLOGY, ENGINEERING AND MATHEMATICS</t>
        </is>
      </c>
      <c r="DK39" s="202" t="inlineStr">
        <is>
          <t>Chemistry 3</t>
        </is>
      </c>
      <c r="DL39" s="202" t="n">
        <v>0</v>
      </c>
      <c r="DM39" s="202" t="n">
        <v>2</v>
      </c>
      <c r="DN39" s="203" t="n">
        <v>12</v>
      </c>
    </row>
    <row r="40">
      <c r="U40" s="206" t="n"/>
      <c r="AP40" s="206" t="n"/>
      <c r="BK40" s="206" t="n"/>
      <c r="CF40" s="206" t="n"/>
      <c r="CQ40" s="199" t="n">
        <v>98.31999999999999</v>
      </c>
      <c r="CR40" s="199" t="n">
        <v>99</v>
      </c>
      <c r="CT40" s="199" t="n">
        <v>38</v>
      </c>
      <c r="DD40" s="233" t="inlineStr">
        <is>
          <t>Illustration</t>
        </is>
      </c>
      <c r="DI40" s="201" t="inlineStr">
        <is>
          <t>Academic Elective (All Other Electives)</t>
        </is>
      </c>
      <c r="DJ40" s="202" t="inlineStr">
        <is>
          <t>SCIENCE, TECHNOLOGY, ENGINEERING AND MATHEMATICS</t>
        </is>
      </c>
      <c r="DK40" s="202" t="inlineStr">
        <is>
          <t>Chemistry 4</t>
        </is>
      </c>
      <c r="DL40" s="202" t="n">
        <v>0</v>
      </c>
      <c r="DM40" s="202" t="n">
        <v>2</v>
      </c>
      <c r="DN40" s="203" t="n">
        <v>12</v>
      </c>
    </row>
    <row r="41">
      <c r="U41" s="206" t="n"/>
      <c r="AP41" s="206" t="n"/>
      <c r="BK41" s="206" t="n"/>
      <c r="CF41" s="206" t="n"/>
      <c r="CQ41" s="199" t="n">
        <v>99.5</v>
      </c>
      <c r="CR41" s="199" t="n">
        <v>100</v>
      </c>
      <c r="CT41" s="199" t="n">
        <v>39</v>
      </c>
      <c r="DD41" s="233" t="inlineStr">
        <is>
          <t>Visual Graphics Design</t>
        </is>
      </c>
      <c r="DI41" s="201" t="inlineStr">
        <is>
          <t>Academic Elective (All Other Electives)</t>
        </is>
      </c>
      <c r="DJ41" s="202" t="inlineStr">
        <is>
          <t>SCIENCE, TECHNOLOGY, ENGINEERING AND MATHEMATICS</t>
        </is>
      </c>
      <c r="DK41" s="202" t="inlineStr">
        <is>
          <t>Database Management</t>
        </is>
      </c>
      <c r="DL41" s="202" t="n">
        <v>2</v>
      </c>
      <c r="DM41" s="202" t="n">
        <v>2</v>
      </c>
      <c r="DN41" s="203" t="inlineStr">
        <is>
          <t>11/12</t>
        </is>
      </c>
    </row>
    <row r="42">
      <c r="U42" s="206" t="n"/>
      <c r="AP42" s="206" t="n"/>
      <c r="BK42" s="206" t="n"/>
      <c r="CF42" s="206" t="n"/>
      <c r="CT42" s="199" t="n">
        <v>40</v>
      </c>
      <c r="DD42" s="233" t="inlineStr">
        <is>
          <t>Bakery Operation</t>
        </is>
      </c>
      <c r="DI42" s="201" t="inlineStr">
        <is>
          <t>Academic Elective (All Other Electives)</t>
        </is>
      </c>
      <c r="DJ42" s="202" t="inlineStr">
        <is>
          <t>SCIENCE, TECHNOLOGY, ENGINEERING AND MATHEMATICS</t>
        </is>
      </c>
      <c r="DK42" s="202" t="inlineStr">
        <is>
          <t>Earth and Space Science 1</t>
        </is>
      </c>
      <c r="DL42" s="202" t="n">
        <v>2</v>
      </c>
      <c r="DM42" s="202" t="n">
        <v>0</v>
      </c>
      <c r="DN42" s="203" t="n">
        <v>11</v>
      </c>
    </row>
    <row r="43">
      <c r="U43" s="206" t="n"/>
      <c r="AP43" s="206" t="n"/>
      <c r="BK43" s="206" t="n"/>
      <c r="CF43" s="206" t="n"/>
      <c r="CT43" s="199" t="n">
        <v>41</v>
      </c>
      <c r="DD43" s="233" t="inlineStr">
        <is>
          <t>Events Management Services</t>
        </is>
      </c>
      <c r="DI43" s="201" t="inlineStr">
        <is>
          <t>Academic Elective (All Other Electives)</t>
        </is>
      </c>
      <c r="DJ43" s="202" t="inlineStr">
        <is>
          <t>SCIENCE, TECHNOLOGY, ENGINEERING AND MATHEMATICS</t>
        </is>
      </c>
      <c r="DK43" s="202" t="inlineStr">
        <is>
          <t>Earth and Space Science 2</t>
        </is>
      </c>
      <c r="DL43" s="202" t="n">
        <v>2</v>
      </c>
      <c r="DM43" s="202" t="n">
        <v>0</v>
      </c>
      <c r="DN43" s="203" t="n">
        <v>11</v>
      </c>
    </row>
    <row r="44">
      <c r="U44" s="206" t="n"/>
      <c r="AP44" s="206" t="n"/>
      <c r="BK44" s="206" t="n"/>
      <c r="CF44" s="206" t="n"/>
      <c r="CT44" s="199" t="n">
        <v>42</v>
      </c>
      <c r="DD44" s="233" t="inlineStr">
        <is>
          <t>Food and Beverage Operation</t>
        </is>
      </c>
      <c r="DI44" s="201" t="inlineStr">
        <is>
          <t>Academic Elective (All Other Electives)</t>
        </is>
      </c>
      <c r="DJ44" s="202" t="inlineStr">
        <is>
          <t>SCIENCE, TECHNOLOGY, ENGINEERING AND MATHEMATICS</t>
        </is>
      </c>
      <c r="DK44" s="202" t="inlineStr">
        <is>
          <t>Earth and Space Science 3</t>
        </is>
      </c>
      <c r="DL44" s="202" t="n">
        <v>0</v>
      </c>
      <c r="DM44" s="202" t="n">
        <v>2</v>
      </c>
      <c r="DN44" s="203" t="n">
        <v>12</v>
      </c>
    </row>
    <row r="45">
      <c r="U45" s="206" t="n"/>
      <c r="AP45" s="206" t="n"/>
      <c r="BK45" s="206" t="n"/>
      <c r="CF45" s="206" t="n"/>
      <c r="CT45" s="199" t="n">
        <v>43</v>
      </c>
      <c r="DD45" s="233" t="inlineStr">
        <is>
          <t>Hotel Operation (Front Office Services)</t>
        </is>
      </c>
      <c r="DI45" s="201" t="inlineStr">
        <is>
          <t>Academic Elective (All Other Electives)</t>
        </is>
      </c>
      <c r="DJ45" s="202" t="inlineStr">
        <is>
          <t>SCIENCE, TECHNOLOGY, ENGINEERING AND MATHEMATICS</t>
        </is>
      </c>
      <c r="DK45" s="202" t="inlineStr">
        <is>
          <t>Earth and Space Science 4</t>
        </is>
      </c>
      <c r="DL45" s="202" t="n">
        <v>0</v>
      </c>
      <c r="DM45" s="202" t="n">
        <v>2</v>
      </c>
      <c r="DN45" s="203" t="n">
        <v>12</v>
      </c>
    </row>
    <row r="46">
      <c r="U46" s="206" t="n"/>
      <c r="AP46" s="206" t="n"/>
      <c r="BK46" s="206" t="n"/>
      <c r="CF46" s="206" t="n"/>
      <c r="CT46" s="199" t="n">
        <v>44</v>
      </c>
      <c r="DD46" s="233" t="inlineStr">
        <is>
          <t>Hotel Operation (Housekeeping Services)</t>
        </is>
      </c>
      <c r="DI46" s="201" t="inlineStr">
        <is>
          <t>Academic Elective (All Other Electives)</t>
        </is>
      </c>
      <c r="DJ46" s="202" t="inlineStr">
        <is>
          <t>SCIENCE, TECHNOLOGY, ENGINEERING AND MATHEMATICS</t>
        </is>
      </c>
      <c r="DK46" s="202" t="inlineStr">
        <is>
          <t>Empowerment Technologies</t>
        </is>
      </c>
      <c r="DL46" s="202" t="n">
        <v>2</v>
      </c>
      <c r="DM46" s="202" t="n">
        <v>2</v>
      </c>
      <c r="DN46" s="203" t="inlineStr">
        <is>
          <t>11/12</t>
        </is>
      </c>
    </row>
    <row r="47">
      <c r="U47" s="206" t="n"/>
      <c r="AP47" s="206" t="n"/>
      <c r="BK47" s="206" t="n"/>
      <c r="CF47" s="206" t="n"/>
      <c r="CT47" s="199" t="n">
        <v>45</v>
      </c>
      <c r="DD47" s="233" t="inlineStr">
        <is>
          <t>Kitchen Operations</t>
        </is>
      </c>
      <c r="DI47" s="201" t="inlineStr">
        <is>
          <t>Academic Elective (All Other Electives)</t>
        </is>
      </c>
      <c r="DJ47" s="202" t="inlineStr">
        <is>
          <t>SCIENCE, TECHNOLOGY, ENGINEERING AND MATHEMATICS</t>
        </is>
      </c>
      <c r="DK47" s="202" t="inlineStr">
        <is>
          <t>Finite Mathematics 1</t>
        </is>
      </c>
      <c r="DL47" s="202" t="n">
        <v>2</v>
      </c>
      <c r="DM47" s="202" t="n">
        <v>2</v>
      </c>
      <c r="DN47" s="203" t="inlineStr">
        <is>
          <t>11/12</t>
        </is>
      </c>
    </row>
    <row r="48">
      <c r="U48" s="206" t="n"/>
      <c r="AP48" s="206" t="n"/>
      <c r="BK48" s="206" t="n"/>
      <c r="CF48" s="206" t="n"/>
      <c r="CT48" s="199" t="n">
        <v>46</v>
      </c>
      <c r="DD48" s="233" t="inlineStr">
        <is>
          <t>Tourism Services</t>
        </is>
      </c>
      <c r="DI48" s="201" t="inlineStr">
        <is>
          <t>Academic Elective (All Other Electives)</t>
        </is>
      </c>
      <c r="DJ48" s="202" t="inlineStr">
        <is>
          <t>SCIENCE, TECHNOLOGY, ENGINEERING AND MATHEMATICS</t>
        </is>
      </c>
      <c r="DK48" s="202" t="inlineStr">
        <is>
          <t>Finite Mathematics 2</t>
        </is>
      </c>
      <c r="DL48" s="202" t="n">
        <v>2</v>
      </c>
      <c r="DM48" s="202" t="n">
        <v>2</v>
      </c>
      <c r="DN48" s="203" t="inlineStr">
        <is>
          <t>11/12</t>
        </is>
      </c>
    </row>
    <row r="49">
      <c r="U49" s="206" t="n"/>
      <c r="AP49" s="206" t="n"/>
      <c r="BK49" s="206" t="n"/>
      <c r="CF49" s="206" t="n"/>
      <c r="CT49" s="199" t="n">
        <v>47</v>
      </c>
      <c r="DD49" s="233" t="inlineStr">
        <is>
          <t>Commercial Air-Conditioning Installation and Servicing</t>
        </is>
      </c>
      <c r="DI49" s="201" t="inlineStr">
        <is>
          <t>Academic Elective (All Other Electives)</t>
        </is>
      </c>
      <c r="DJ49" s="202" t="inlineStr">
        <is>
          <t>SCIENCE, TECHNOLOGY, ENGINEERING AND MATHEMATICS</t>
        </is>
      </c>
      <c r="DK49" s="202" t="inlineStr">
        <is>
          <t>Fundamentals in Data Analytics</t>
        </is>
      </c>
      <c r="DL49" s="202" t="n">
        <v>2</v>
      </c>
      <c r="DM49" s="202" t="n">
        <v>2</v>
      </c>
      <c r="DN49" s="203" t="inlineStr">
        <is>
          <t>11/12</t>
        </is>
      </c>
    </row>
    <row r="50">
      <c r="U50" s="206" t="n"/>
      <c r="AP50" s="206" t="n"/>
      <c r="BK50" s="206" t="n"/>
      <c r="CF50" s="206" t="n"/>
      <c r="CT50" s="199" t="n">
        <v>48</v>
      </c>
      <c r="DD50" s="233" t="inlineStr">
        <is>
          <t>Domestic Refrigeration and Air-Conditioning Servicing</t>
        </is>
      </c>
      <c r="DI50" s="201" t="inlineStr">
        <is>
          <t>Academic Elective (All Other Electives)</t>
        </is>
      </c>
      <c r="DJ50" s="202" t="inlineStr">
        <is>
          <t>SCIENCE, TECHNOLOGY, ENGINEERING AND MATHEMATICS</t>
        </is>
      </c>
      <c r="DK50" s="202" t="inlineStr">
        <is>
          <t>General Science 3</t>
        </is>
      </c>
      <c r="DL50" s="202" t="n">
        <v>0</v>
      </c>
      <c r="DM50" s="202" t="n">
        <v>2</v>
      </c>
      <c r="DN50" s="203" t="n">
        <v>12</v>
      </c>
    </row>
    <row r="51">
      <c r="U51" s="206" t="n"/>
      <c r="AP51" s="206" t="n"/>
      <c r="BK51" s="206" t="n"/>
      <c r="CF51" s="206" t="n"/>
      <c r="CT51" s="199" t="n">
        <v>49</v>
      </c>
      <c r="DD51" s="233" t="inlineStr">
        <is>
          <t>Electrical Installation Maintenance</t>
        </is>
      </c>
      <c r="DI51" s="201" t="inlineStr">
        <is>
          <t>Academic Elective (All Other Electives)</t>
        </is>
      </c>
      <c r="DJ51" s="202" t="inlineStr">
        <is>
          <t>SCIENCE, TECHNOLOGY, ENGINEERING AND MATHEMATICS</t>
        </is>
      </c>
      <c r="DK51" s="202" t="inlineStr">
        <is>
          <t>General Science 4</t>
        </is>
      </c>
      <c r="DL51" s="202" t="n">
        <v>0</v>
      </c>
      <c r="DM51" s="202" t="n">
        <v>2</v>
      </c>
      <c r="DN51" s="203" t="n">
        <v>12</v>
      </c>
    </row>
    <row r="52">
      <c r="U52" s="206" t="n"/>
      <c r="AP52" s="206" t="n"/>
      <c r="BK52" s="206" t="n"/>
      <c r="CF52" s="206" t="n"/>
      <c r="CT52" s="199" t="n">
        <v>50</v>
      </c>
      <c r="DD52" s="233" t="inlineStr">
        <is>
          <t>Electronics Product Assembly and Servicing</t>
        </is>
      </c>
      <c r="DI52" s="201" t="inlineStr">
        <is>
          <t>Academic Elective (All Other Electives)</t>
        </is>
      </c>
      <c r="DJ52" s="202" t="inlineStr">
        <is>
          <t>SCIENCE, TECHNOLOGY, ENGINEERING AND MATHEMATICS</t>
        </is>
      </c>
      <c r="DK52" s="202" t="inlineStr">
        <is>
          <t>Physics 1</t>
        </is>
      </c>
      <c r="DL52" s="202" t="n">
        <v>2</v>
      </c>
      <c r="DM52" s="202" t="n">
        <v>0</v>
      </c>
      <c r="DN52" s="203" t="n">
        <v>11</v>
      </c>
    </row>
    <row r="53">
      <c r="U53" s="206" t="n"/>
      <c r="AP53" s="206" t="n"/>
      <c r="BK53" s="206" t="n"/>
      <c r="CF53" s="206" t="n"/>
      <c r="CT53" s="199" t="inlineStr">
        <is>
          <t>FEMALE</t>
        </is>
      </c>
      <c r="DD53" s="233" t="inlineStr">
        <is>
          <t>Mechatronics</t>
        </is>
      </c>
      <c r="DI53" s="201" t="inlineStr">
        <is>
          <t>Academic Elective (All Other Electives)</t>
        </is>
      </c>
      <c r="DJ53" s="202" t="inlineStr">
        <is>
          <t>SCIENCE, TECHNOLOGY, ENGINEERING AND MATHEMATICS</t>
        </is>
      </c>
      <c r="DK53" s="202" t="inlineStr">
        <is>
          <t>Physics 2</t>
        </is>
      </c>
      <c r="DL53" s="202" t="n">
        <v>2</v>
      </c>
      <c r="DM53" s="202" t="n">
        <v>0</v>
      </c>
      <c r="DN53" s="203" t="n">
        <v>11</v>
      </c>
    </row>
    <row r="54">
      <c r="U54" s="206" t="n"/>
      <c r="AP54" s="206" t="n"/>
      <c r="BK54" s="206" t="n"/>
      <c r="CF54" s="206" t="n"/>
      <c r="CT54" s="199">
        <f t="array" ref="CT54:CT103">_xlfn.SEQUENCE(50)</f>
        <v/>
      </c>
      <c r="DD54" s="233" t="inlineStr">
        <is>
          <t>Photovoltaic Systems Installation</t>
        </is>
      </c>
      <c r="DI54" s="201" t="inlineStr">
        <is>
          <t>Academic Elective (All Other Electives)</t>
        </is>
      </c>
      <c r="DJ54" s="202" t="inlineStr">
        <is>
          <t>SCIENCE, TECHNOLOGY, ENGINEERING AND MATHEMATICS</t>
        </is>
      </c>
      <c r="DK54" s="202" t="inlineStr">
        <is>
          <t>Physics 3</t>
        </is>
      </c>
      <c r="DL54" s="202" t="n">
        <v>0</v>
      </c>
      <c r="DM54" s="202" t="n">
        <v>2</v>
      </c>
      <c r="DN54" s="203" t="n">
        <v>12</v>
      </c>
    </row>
    <row r="55">
      <c r="U55" s="206" t="n"/>
      <c r="AP55" s="206" t="n"/>
      <c r="BK55" s="206" t="n"/>
      <c r="CF55" s="206" t="n"/>
      <c r="CT55" s="199" t="n">
        <v>2</v>
      </c>
      <c r="DD55" s="233" t="inlineStr">
        <is>
          <t>Broadband Installation</t>
        </is>
      </c>
      <c r="DI55" s="201" t="inlineStr">
        <is>
          <t>Academic Elective (All Other Electives)</t>
        </is>
      </c>
      <c r="DJ55" s="202" t="inlineStr">
        <is>
          <t>SCIENCE, TECHNOLOGY, ENGINEERING AND MATHEMATICS</t>
        </is>
      </c>
      <c r="DK55" s="202" t="inlineStr">
        <is>
          <t>Physics 4</t>
        </is>
      </c>
      <c r="DL55" s="202" t="n">
        <v>0</v>
      </c>
      <c r="DM55" s="202" t="n">
        <v>2</v>
      </c>
      <c r="DN55" s="203" t="n">
        <v>12</v>
      </c>
    </row>
    <row r="56">
      <c r="U56" s="206" t="n"/>
      <c r="AP56" s="206" t="n"/>
      <c r="BK56" s="206" t="n"/>
      <c r="CF56" s="206" t="n"/>
      <c r="CT56" s="199" t="n">
        <v>3</v>
      </c>
      <c r="DD56" s="233" t="inlineStr">
        <is>
          <t>Computer Programming (Java)</t>
        </is>
      </c>
      <c r="DI56" s="201" t="inlineStr">
        <is>
          <t>Academic Elective (All Other Electives)</t>
        </is>
      </c>
      <c r="DJ56" s="202" t="inlineStr">
        <is>
          <t>SCIENCE, TECHNOLOGY, ENGINEERING AND MATHEMATICS</t>
        </is>
      </c>
      <c r="DK56" s="202" t="inlineStr">
        <is>
          <t>Pre-calculus 1</t>
        </is>
      </c>
      <c r="DL56" s="202" t="n">
        <v>0</v>
      </c>
      <c r="DM56" s="202" t="n">
        <v>2</v>
      </c>
      <c r="DN56" s="203" t="n">
        <v>12</v>
      </c>
    </row>
    <row r="57">
      <c r="U57" s="206" t="n"/>
      <c r="AP57" s="206" t="n"/>
      <c r="BK57" s="206" t="n"/>
      <c r="CF57" s="206" t="n"/>
      <c r="CT57" s="199" t="n">
        <v>4</v>
      </c>
      <c r="DD57" s="233" t="inlineStr">
        <is>
          <t>Computer Programming (.Net Technology)</t>
        </is>
      </c>
      <c r="DI57" s="201" t="inlineStr">
        <is>
          <t>Academic Elective (All Other Electives)</t>
        </is>
      </c>
      <c r="DJ57" s="202" t="inlineStr">
        <is>
          <t>SCIENCE, TECHNOLOGY, ENGINEERING AND MATHEMATICS</t>
        </is>
      </c>
      <c r="DK57" s="202" t="inlineStr">
        <is>
          <t>Pre-calculus 2</t>
        </is>
      </c>
      <c r="DL57" s="202" t="n">
        <v>0</v>
      </c>
      <c r="DM57" s="202" t="n">
        <v>2</v>
      </c>
      <c r="DN57" s="203" t="n">
        <v>12</v>
      </c>
    </row>
    <row r="58">
      <c r="U58" s="206" t="n"/>
      <c r="AP58" s="206" t="n"/>
      <c r="BK58" s="206" t="n"/>
      <c r="CF58" s="206" t="n"/>
      <c r="CT58" s="199" t="n">
        <v>5</v>
      </c>
      <c r="DD58" s="233" t="inlineStr">
        <is>
          <t>Computer Programming (Oracle Database)</t>
        </is>
      </c>
      <c r="DI58" s="201" t="inlineStr">
        <is>
          <t>Academic Elective (All Other Electives)</t>
        </is>
      </c>
      <c r="DJ58" s="202" t="inlineStr">
        <is>
          <t>SCIENCE, TECHNOLOGY, ENGINEERING AND MATHEMATICS</t>
        </is>
      </c>
      <c r="DK58" s="202" t="inlineStr">
        <is>
          <t>Trigonometry 1</t>
        </is>
      </c>
      <c r="DL58" s="202" t="n">
        <v>0</v>
      </c>
      <c r="DM58" s="202" t="n">
        <v>2</v>
      </c>
      <c r="DN58" s="203" t="n">
        <v>12</v>
      </c>
    </row>
    <row r="59">
      <c r="U59" s="206" t="n"/>
      <c r="AP59" s="206" t="n"/>
      <c r="BK59" s="206" t="n"/>
      <c r="CF59" s="206" t="n"/>
      <c r="CT59" s="199" t="n">
        <v>6</v>
      </c>
      <c r="DD59" s="233" t="inlineStr">
        <is>
          <t>Computer Systems Servicing</t>
        </is>
      </c>
      <c r="DI59" s="201" t="inlineStr">
        <is>
          <t>Academic Elective (All Other Electives)</t>
        </is>
      </c>
      <c r="DJ59" s="202" t="inlineStr">
        <is>
          <t>SCIENCE, TECHNOLOGY, ENGINEERING AND MATHEMATICS</t>
        </is>
      </c>
      <c r="DK59" s="202" t="inlineStr">
        <is>
          <t>Trigonometry 2</t>
        </is>
      </c>
      <c r="DL59" s="202" t="n">
        <v>0</v>
      </c>
      <c r="DM59" s="202" t="n">
        <v>2</v>
      </c>
      <c r="DN59" s="203" t="n">
        <v>12</v>
      </c>
    </row>
    <row r="60">
      <c r="U60" s="206" t="n"/>
      <c r="AP60" s="206" t="n"/>
      <c r="BK60" s="206" t="n"/>
      <c r="CF60" s="206" t="n"/>
      <c r="CT60" s="199" t="n">
        <v>7</v>
      </c>
      <c r="DD60" s="233" t="inlineStr">
        <is>
          <t>Contact Center Services</t>
        </is>
      </c>
      <c r="DI60" s="201" t="inlineStr">
        <is>
          <t>Academic Elective (All Other Electives)</t>
        </is>
      </c>
      <c r="DJ60" s="202" t="inlineStr">
        <is>
          <t>SPORTS, HEALTH AND WELLNESS</t>
        </is>
      </c>
      <c r="DK60" s="202" t="inlineStr">
        <is>
          <t>Exercise and Sports Programming</t>
        </is>
      </c>
      <c r="DL60" s="202" t="n">
        <v>2</v>
      </c>
      <c r="DM60" s="202" t="n">
        <v>2</v>
      </c>
      <c r="DN60" s="203" t="inlineStr">
        <is>
          <t>11/12</t>
        </is>
      </c>
    </row>
    <row r="61">
      <c r="U61" s="206" t="n"/>
      <c r="AP61" s="206" t="n"/>
      <c r="BK61" s="206" t="n"/>
      <c r="CF61" s="206" t="n"/>
      <c r="CT61" s="199" t="n">
        <v>8</v>
      </c>
      <c r="DD61" s="233" t="inlineStr">
        <is>
          <t>Marine Engineering at the Support Level</t>
        </is>
      </c>
      <c r="DI61" s="201" t="inlineStr">
        <is>
          <t>Academic Elective (All Other Electives)</t>
        </is>
      </c>
      <c r="DJ61" s="202" t="inlineStr">
        <is>
          <t>SPORTS, HEALTH AND WELLNESS</t>
        </is>
      </c>
      <c r="DK61" s="202" t="inlineStr">
        <is>
          <t>Human Movement 1 (Basic Anatomy in Sports and Exercise)</t>
        </is>
      </c>
      <c r="DL61" s="202" t="n">
        <v>2</v>
      </c>
      <c r="DM61" s="202" t="n">
        <v>0</v>
      </c>
      <c r="DN61" s="203" t="n">
        <v>11</v>
      </c>
    </row>
    <row r="62">
      <c r="U62" s="206" t="n"/>
      <c r="AP62" s="206" t="n"/>
      <c r="BK62" s="206" t="n"/>
      <c r="CF62" s="206" t="n"/>
      <c r="CT62" s="199" t="n">
        <v>9</v>
      </c>
      <c r="DD62" s="233" t="inlineStr">
        <is>
          <t>Marine Transportation at the Support Level</t>
        </is>
      </c>
      <c r="DI62" s="201" t="inlineStr">
        <is>
          <t>Academic Elective (All Other Electives)</t>
        </is>
      </c>
      <c r="DJ62" s="202" t="inlineStr">
        <is>
          <t>SPORTS, HEALTH AND WELLNESS</t>
        </is>
      </c>
      <c r="DK62" s="202" t="inlineStr">
        <is>
          <t>Human Movement 2 (Motor Skills Development)</t>
        </is>
      </c>
      <c r="DL62" s="202" t="n">
        <v>2</v>
      </c>
      <c r="DM62" s="202" t="n">
        <v>0</v>
      </c>
      <c r="DN62" s="203" t="n">
        <v>11</v>
      </c>
    </row>
    <row r="63">
      <c r="U63" s="206" t="n"/>
      <c r="AP63" s="206" t="n"/>
      <c r="BK63" s="206" t="n"/>
      <c r="CF63" s="206" t="n"/>
      <c r="CT63" s="199" t="n">
        <v>10</v>
      </c>
      <c r="DD63" s="233" t="inlineStr">
        <is>
          <t>Ships Catering Services</t>
        </is>
      </c>
      <c r="DI63" s="201" t="inlineStr">
        <is>
          <t>Academic Elective (All Other Electives)</t>
        </is>
      </c>
      <c r="DJ63" s="202" t="inlineStr">
        <is>
          <t>SPORTS, HEALTH AND WELLNESS</t>
        </is>
      </c>
      <c r="DK63" s="202" t="inlineStr">
        <is>
          <t>Physical Education 1 (Fitness and Recreation)</t>
        </is>
      </c>
      <c r="DL63" s="202" t="n">
        <v>2</v>
      </c>
      <c r="DM63" s="202" t="n">
        <v>2</v>
      </c>
      <c r="DN63" s="203" t="inlineStr">
        <is>
          <t>11/12</t>
        </is>
      </c>
    </row>
    <row r="64">
      <c r="U64" s="206" t="n"/>
      <c r="AP64" s="206" t="n"/>
      <c r="BK64" s="206" t="n"/>
      <c r="CF64" s="206" t="n"/>
      <c r="CT64" s="199" t="n">
        <v>11</v>
      </c>
      <c r="DD64" s="233" t="inlineStr">
        <is>
          <t>Other Elective and Special Curricular Program</t>
        </is>
      </c>
      <c r="DI64" s="201" t="inlineStr">
        <is>
          <t>Academic Elective (All Other Electives)</t>
        </is>
      </c>
      <c r="DJ64" s="202" t="inlineStr">
        <is>
          <t>SPORTS, HEALTH AND WELLNESS</t>
        </is>
      </c>
      <c r="DK64" s="202" t="inlineStr">
        <is>
          <t>Physical Education 2 (Sports and Dance)</t>
        </is>
      </c>
      <c r="DL64" s="202" t="n">
        <v>2</v>
      </c>
      <c r="DM64" s="202" t="n">
        <v>2</v>
      </c>
      <c r="DN64" s="203" t="inlineStr">
        <is>
          <t>11/12</t>
        </is>
      </c>
    </row>
    <row r="65">
      <c r="U65" s="206" t="n"/>
      <c r="AP65" s="206" t="n"/>
      <c r="BK65" s="206" t="n"/>
      <c r="CF65" s="206" t="n"/>
      <c r="CT65" s="199" t="n">
        <v>12</v>
      </c>
      <c r="DD65" s="233" t="n"/>
      <c r="DI65" s="201" t="inlineStr">
        <is>
          <t>Academic Elective (All Other Electives)</t>
        </is>
      </c>
      <c r="DJ65" s="202" t="inlineStr">
        <is>
          <t>SPORTS, HEALTH AND WELLNESS</t>
        </is>
      </c>
      <c r="DK65" s="202" t="inlineStr">
        <is>
          <t>Safety and First Aid</t>
        </is>
      </c>
      <c r="DL65" s="202" t="n">
        <v>2</v>
      </c>
      <c r="DM65" s="202" t="n">
        <v>2</v>
      </c>
      <c r="DN65" s="203" t="inlineStr">
        <is>
          <t>11/12</t>
        </is>
      </c>
    </row>
    <row r="66">
      <c r="U66" s="206" t="n"/>
      <c r="AP66" s="206" t="n"/>
      <c r="BK66" s="206" t="n"/>
      <c r="CF66" s="206" t="n"/>
      <c r="CT66" s="199" t="n">
        <v>13</v>
      </c>
      <c r="DD66" s="233" t="n"/>
      <c r="DI66" s="201" t="inlineStr">
        <is>
          <t>Academic Elective (All Other Electives)</t>
        </is>
      </c>
      <c r="DJ66" s="202" t="inlineStr">
        <is>
          <t>SPORTS, HEALTH AND WELLNESS</t>
        </is>
      </c>
      <c r="DK66" s="202" t="inlineStr">
        <is>
          <t>Sports Activity Management</t>
        </is>
      </c>
      <c r="DL66" s="202" t="n">
        <v>2</v>
      </c>
      <c r="DM66" s="202" t="n">
        <v>2</v>
      </c>
      <c r="DN66" s="203" t="inlineStr">
        <is>
          <t>11/12</t>
        </is>
      </c>
    </row>
    <row r="67">
      <c r="U67" s="206" t="n"/>
      <c r="AP67" s="206" t="n"/>
      <c r="BK67" s="206" t="n"/>
      <c r="CF67" s="206" t="n"/>
      <c r="CT67" s="199" t="n">
        <v>14</v>
      </c>
      <c r="DD67" s="233" t="n"/>
      <c r="DI67" s="201" t="inlineStr">
        <is>
          <t>Academic Elective (All Other Electives)</t>
        </is>
      </c>
      <c r="DJ67" s="202" t="inlineStr">
        <is>
          <t>SPORTS, HEALTH AND WELLNESS</t>
        </is>
      </c>
      <c r="DK67" s="202" t="inlineStr">
        <is>
          <t>Sports Coaching</t>
        </is>
      </c>
      <c r="DL67" s="202" t="n">
        <v>2</v>
      </c>
      <c r="DM67" s="202" t="n">
        <v>2</v>
      </c>
      <c r="DN67" s="203" t="inlineStr">
        <is>
          <t>11/12</t>
        </is>
      </c>
    </row>
    <row r="68">
      <c r="U68" s="206" t="n"/>
      <c r="AP68" s="206" t="n"/>
      <c r="BK68" s="206" t="n"/>
      <c r="CF68" s="206" t="n"/>
      <c r="CT68" s="199" t="n">
        <v>15</v>
      </c>
      <c r="DD68" s="233" t="n"/>
      <c r="DI68" s="201" t="inlineStr">
        <is>
          <t>Academic Elective (All Other Electives)</t>
        </is>
      </c>
      <c r="DJ68" s="202" t="inlineStr">
        <is>
          <t>SPORTS, HEALTH AND WELLNESS</t>
        </is>
      </c>
      <c r="DK68" s="202" t="inlineStr">
        <is>
          <t>Sports Officiating</t>
        </is>
      </c>
      <c r="DL68" s="202" t="n">
        <v>2</v>
      </c>
      <c r="DM68" s="202" t="n">
        <v>2</v>
      </c>
      <c r="DN68" s="203" t="inlineStr">
        <is>
          <t>11/12</t>
        </is>
      </c>
    </row>
    <row r="69">
      <c r="U69" s="206" t="n"/>
      <c r="AP69" s="206" t="n"/>
      <c r="BK69" s="206" t="n"/>
      <c r="CF69" s="206" t="n"/>
      <c r="CT69" s="199" t="n">
        <v>16</v>
      </c>
      <c r="DD69" s="233" t="n"/>
      <c r="DI69" s="201" t="inlineStr">
        <is>
          <t>Academic Elective (Field Experience / Exposure, and Sports and Arts)</t>
        </is>
      </c>
      <c r="DJ69" s="202" t="inlineStr">
        <is>
          <t>FIELD EXPOSURE</t>
        </is>
      </c>
      <c r="DK69" s="202" t="inlineStr">
        <is>
          <t>Field Exposure - Arts Apprenticeship (Dance, Music, Theater Arts, Literary Arts, Visual Arts, Visual, Media, Applied, and Traditional Art)</t>
        </is>
      </c>
      <c r="DL69" s="202" t="n">
        <v>2</v>
      </c>
      <c r="DM69" s="202" t="n">
        <v>2</v>
      </c>
      <c r="DN69" s="203" t="inlineStr">
        <is>
          <t>11/12</t>
        </is>
      </c>
    </row>
    <row r="70">
      <c r="U70" s="206" t="n"/>
      <c r="AP70" s="206" t="n"/>
      <c r="BK70" s="206" t="n"/>
      <c r="CF70" s="206" t="n"/>
      <c r="CT70" s="199" t="n">
        <v>17</v>
      </c>
      <c r="DD70" s="233" t="n"/>
      <c r="DI70" s="201" t="inlineStr">
        <is>
          <t>Academic Elective (Field Experience / Exposure, and Sports and Arts)</t>
        </is>
      </c>
      <c r="DJ70" s="202" t="inlineStr">
        <is>
          <t>FIELD EXPOSURE</t>
        </is>
      </c>
      <c r="DK70" s="202" t="inlineStr">
        <is>
          <t>Field Exposure - Creative Production and Presentation</t>
        </is>
      </c>
      <c r="DL70" s="202" t="n">
        <v>2</v>
      </c>
      <c r="DM70" s="202" t="n">
        <v>2</v>
      </c>
      <c r="DN70" s="203" t="inlineStr">
        <is>
          <t>11/12</t>
        </is>
      </c>
    </row>
    <row r="71">
      <c r="U71" s="206" t="n"/>
      <c r="AP71" s="206" t="n"/>
      <c r="BK71" s="206" t="n"/>
      <c r="CF71" s="206" t="n"/>
      <c r="CT71" s="199" t="n">
        <v>18</v>
      </c>
      <c r="DD71" s="233" t="n"/>
      <c r="DI71" s="201" t="inlineStr">
        <is>
          <t>Academic Elective (Field Experience / Exposure, and Sports and Arts)</t>
        </is>
      </c>
      <c r="DJ71" s="202" t="inlineStr">
        <is>
          <t>FIELD EXPOSURE</t>
        </is>
      </c>
      <c r="DK71" s="202" t="inlineStr">
        <is>
          <t>Field Exposure - Design and Innovation</t>
        </is>
      </c>
      <c r="DL71" s="202" t="n">
        <v>2</v>
      </c>
      <c r="DM71" s="202" t="n">
        <v>2</v>
      </c>
      <c r="DN71" s="203" t="inlineStr">
        <is>
          <t>11/12</t>
        </is>
      </c>
    </row>
    <row r="72">
      <c r="U72" s="206" t="n"/>
      <c r="AP72" s="206" t="n"/>
      <c r="BK72" s="206" t="n"/>
      <c r="CF72" s="206" t="n"/>
      <c r="CT72" s="199" t="n">
        <v>19</v>
      </c>
      <c r="DD72" s="233" t="n"/>
      <c r="DI72" s="201" t="inlineStr">
        <is>
          <t>Academic Elective (Field Experience / Exposure, and Sports and Arts)</t>
        </is>
      </c>
      <c r="DJ72" s="202" t="inlineStr">
        <is>
          <t>FIELD EXPOSURE</t>
        </is>
      </c>
      <c r="DK72" s="202" t="inlineStr">
        <is>
          <t>Field Exposure - Research Methods</t>
        </is>
      </c>
      <c r="DL72" s="202" t="n">
        <v>2</v>
      </c>
      <c r="DM72" s="202" t="n">
        <v>2</v>
      </c>
      <c r="DN72" s="203" t="inlineStr">
        <is>
          <t>11/12</t>
        </is>
      </c>
    </row>
    <row r="73">
      <c r="U73" s="206" t="n"/>
      <c r="AP73" s="206" t="n"/>
      <c r="BK73" s="206" t="n"/>
      <c r="CF73" s="206" t="n"/>
      <c r="CT73" s="199" t="n">
        <v>20</v>
      </c>
      <c r="DD73" s="233" t="n"/>
      <c r="DI73" s="201" t="inlineStr">
        <is>
          <t>Academic Elective (Field Experience / Exposure, and Sports and Arts)</t>
        </is>
      </c>
      <c r="DJ73" s="202" t="inlineStr">
        <is>
          <t>FIELD EXPOSURE</t>
        </is>
      </c>
      <c r="DK73" s="202" t="inlineStr">
        <is>
          <t>Field Exposure - (In-Campus) Sports</t>
        </is>
      </c>
      <c r="DL73" s="202" t="n">
        <v>2</v>
      </c>
      <c r="DM73" s="202" t="n">
        <v>2</v>
      </c>
      <c r="DN73" s="203" t="inlineStr">
        <is>
          <t>11/12</t>
        </is>
      </c>
    </row>
    <row r="74">
      <c r="U74" s="206" t="n"/>
      <c r="AP74" s="206" t="n"/>
      <c r="BK74" s="206" t="n"/>
      <c r="CF74" s="206" t="n"/>
      <c r="CT74" s="199" t="n">
        <v>21</v>
      </c>
      <c r="DD74" s="233" t="n"/>
      <c r="DI74" s="201" t="inlineStr">
        <is>
          <t>Academic Elective (Field Experience / Exposure, and Sports and Arts)</t>
        </is>
      </c>
      <c r="DJ74" s="202" t="inlineStr">
        <is>
          <t>FIELD EXPOSURE</t>
        </is>
      </c>
      <c r="DK74" s="202" t="inlineStr">
        <is>
          <t>Field Exposure - (Off-Campus) (Business and Entrepreneurship/ Sports Health, and Wellness/ Science, Technology, Engineering, and Mathematics)</t>
        </is>
      </c>
      <c r="DL74" s="202" t="n">
        <v>2</v>
      </c>
      <c r="DM74" s="202" t="n">
        <v>2</v>
      </c>
      <c r="DN74" s="203" t="inlineStr">
        <is>
          <t>11/12</t>
        </is>
      </c>
    </row>
    <row r="75">
      <c r="U75" s="206" t="n"/>
      <c r="AP75" s="206" t="n"/>
      <c r="BK75" s="206" t="n"/>
      <c r="CF75" s="206" t="n"/>
      <c r="CT75" s="199" t="n">
        <v>22</v>
      </c>
      <c r="DD75" s="233" t="n"/>
      <c r="DI75" s="201" t="inlineStr">
        <is>
          <t>TechPro Elective (All Other Electives)</t>
        </is>
      </c>
      <c r="DJ75" s="202" t="inlineStr">
        <is>
          <t>AESTHETIC, WELLNESS AND HUMAN CARE CLUSTER</t>
        </is>
      </c>
      <c r="DK75" s="202" t="inlineStr">
        <is>
          <t>Aesthethic Services (Beauty Care)</t>
        </is>
      </c>
      <c r="DL75" s="202" t="n">
        <v>4</v>
      </c>
      <c r="DM75" s="202" t="n">
        <v>2</v>
      </c>
      <c r="DN75" s="203" t="inlineStr">
        <is>
          <t>11/12</t>
        </is>
      </c>
    </row>
    <row r="76">
      <c r="U76" s="206" t="n"/>
      <c r="AP76" s="206" t="n"/>
      <c r="BK76" s="206" t="n"/>
      <c r="CF76" s="206" t="n"/>
      <c r="CT76" s="199" t="n">
        <v>23</v>
      </c>
      <c r="DD76" s="233" t="n"/>
      <c r="DI76" s="201" t="inlineStr">
        <is>
          <t>TechPro Elective (All Other Electives)</t>
        </is>
      </c>
      <c r="DJ76" s="202" t="inlineStr">
        <is>
          <t>AESTHETIC, WELLNESS AND HUMAN CARE CLUSTER</t>
        </is>
      </c>
      <c r="DK76" s="202" t="inlineStr">
        <is>
          <t>Barbering Services</t>
        </is>
      </c>
      <c r="DL76" s="202" t="n">
        <v>4</v>
      </c>
      <c r="DM76" s="202" t="n">
        <v>2</v>
      </c>
      <c r="DN76" s="203" t="inlineStr">
        <is>
          <t>11/12</t>
        </is>
      </c>
    </row>
    <row r="77">
      <c r="U77" s="206" t="n"/>
      <c r="AP77" s="206" t="n"/>
      <c r="BK77" s="206" t="n"/>
      <c r="CF77" s="206" t="n"/>
      <c r="CT77" s="199" t="n">
        <v>24</v>
      </c>
      <c r="DD77" s="233" t="n"/>
      <c r="DI77" s="201" t="inlineStr">
        <is>
          <t>TechPro Elective (All Other Electives)</t>
        </is>
      </c>
      <c r="DJ77" s="202" t="inlineStr">
        <is>
          <t>AESTHETIC, WELLNESS AND HUMAN CARE CLUSTER</t>
        </is>
      </c>
      <c r="DK77" s="202" t="inlineStr">
        <is>
          <t>Caregiving (Adult Care)</t>
        </is>
      </c>
      <c r="DL77" s="202" t="n">
        <v>4</v>
      </c>
      <c r="DM77" s="202" t="n">
        <v>2</v>
      </c>
      <c r="DN77" s="203" t="inlineStr">
        <is>
          <t>11/12</t>
        </is>
      </c>
    </row>
    <row r="78">
      <c r="U78" s="206" t="n"/>
      <c r="AP78" s="206" t="n"/>
      <c r="BK78" s="206" t="n"/>
      <c r="CF78" s="206" t="n"/>
      <c r="CT78" s="199" t="n">
        <v>25</v>
      </c>
      <c r="DD78" s="233" t="n"/>
      <c r="DI78" s="201" t="inlineStr">
        <is>
          <t>TechPro Elective (All Other Electives)</t>
        </is>
      </c>
      <c r="DJ78" s="202" t="inlineStr">
        <is>
          <t>AESTHETIC, WELLNESS AND HUMAN CARE CLUSTER</t>
        </is>
      </c>
      <c r="DK78" s="202" t="inlineStr">
        <is>
          <t>Caregiving (Child Care)</t>
        </is>
      </c>
      <c r="DL78" s="202" t="n">
        <v>4</v>
      </c>
      <c r="DM78" s="202" t="n">
        <v>2</v>
      </c>
      <c r="DN78" s="203" t="inlineStr">
        <is>
          <t>11/12</t>
        </is>
      </c>
    </row>
    <row r="79">
      <c r="U79" s="206" t="n"/>
      <c r="AP79" s="206" t="n"/>
      <c r="BK79" s="206" t="n"/>
      <c r="CF79" s="206" t="n"/>
      <c r="CT79" s="199" t="n">
        <v>26</v>
      </c>
      <c r="DD79" s="233" t="n"/>
      <c r="DI79" s="201" t="inlineStr">
        <is>
          <t>TechPro Elective (All Other Electives)</t>
        </is>
      </c>
      <c r="DJ79" s="202" t="inlineStr">
        <is>
          <t>AESTHETIC, WELLNESS AND HUMAN CARE CLUSTER</t>
        </is>
      </c>
      <c r="DK79" s="202" t="inlineStr">
        <is>
          <t>Hairdressing Services</t>
        </is>
      </c>
      <c r="DL79" s="202" t="n">
        <v>4</v>
      </c>
      <c r="DM79" s="202" t="n">
        <v>2</v>
      </c>
      <c r="DN79" s="203" t="inlineStr">
        <is>
          <t>11/12</t>
        </is>
      </c>
    </row>
    <row r="80">
      <c r="U80" s="206" t="n"/>
      <c r="AP80" s="206" t="n"/>
      <c r="BK80" s="206" t="n"/>
      <c r="CF80" s="206" t="n"/>
      <c r="CT80" s="199" t="n">
        <v>27</v>
      </c>
      <c r="DD80" s="233" t="n"/>
      <c r="DI80" s="201" t="inlineStr">
        <is>
          <t>TechPro Elective (All Other Electives)</t>
        </is>
      </c>
      <c r="DJ80" s="202" t="inlineStr">
        <is>
          <t>AESTHETIC, WELLNESS AND HUMAN CARE CLUSTER</t>
        </is>
      </c>
      <c r="DK80" s="202" t="inlineStr">
        <is>
          <t>Wellness Services (Hilot/Massage)</t>
        </is>
      </c>
      <c r="DL80" s="202" t="n">
        <v>4</v>
      </c>
      <c r="DM80" s="202" t="n">
        <v>2</v>
      </c>
      <c r="DN80" s="203" t="inlineStr">
        <is>
          <t>11/12</t>
        </is>
      </c>
    </row>
    <row r="81">
      <c r="U81" s="206" t="n"/>
      <c r="AP81" s="206" t="n"/>
      <c r="BK81" s="206" t="n"/>
      <c r="CF81" s="206" t="n"/>
      <c r="CT81" s="199" t="n">
        <v>28</v>
      </c>
      <c r="DD81" s="233" t="n"/>
      <c r="DI81" s="201" t="inlineStr">
        <is>
          <t>TechPro Elective (All Other Electives)</t>
        </is>
      </c>
      <c r="DJ81" s="202" t="inlineStr">
        <is>
          <t>AGRI-FISHERY BUSINESS AND FOOD INNOVATION</t>
        </is>
      </c>
      <c r="DK81" s="202" t="inlineStr">
        <is>
          <t>Agricultural Crops Production</t>
        </is>
      </c>
      <c r="DL81" s="202" t="n">
        <v>4</v>
      </c>
      <c r="DM81" s="202" t="n">
        <v>2</v>
      </c>
      <c r="DN81" s="203" t="inlineStr">
        <is>
          <t>11/12</t>
        </is>
      </c>
    </row>
    <row r="82">
      <c r="U82" s="206" t="n"/>
      <c r="AP82" s="206" t="n"/>
      <c r="BK82" s="206" t="n"/>
      <c r="CF82" s="206" t="n"/>
      <c r="CT82" s="199" t="n">
        <v>29</v>
      </c>
      <c r="DD82" s="233" t="n"/>
      <c r="DI82" s="201" t="inlineStr">
        <is>
          <t>TechPro Elective (All Other Electives)</t>
        </is>
      </c>
      <c r="DJ82" s="202" t="inlineStr">
        <is>
          <t>AGRI-FISHERY BUSINESS AND FOOD INNOVATION</t>
        </is>
      </c>
      <c r="DK82" s="202" t="inlineStr">
        <is>
          <t>Agro-entrepreneurship</t>
        </is>
      </c>
      <c r="DL82" s="202" t="n">
        <v>4</v>
      </c>
      <c r="DM82" s="202" t="n">
        <v>2</v>
      </c>
      <c r="DN82" s="203" t="inlineStr">
        <is>
          <t>11/12</t>
        </is>
      </c>
    </row>
    <row r="83">
      <c r="U83" s="206" t="n"/>
      <c r="AP83" s="206" t="n"/>
      <c r="BK83" s="206" t="n"/>
      <c r="CF83" s="206" t="n"/>
      <c r="CT83" s="199" t="n">
        <v>30</v>
      </c>
      <c r="DD83" s="233" t="n"/>
      <c r="DI83" s="201" t="inlineStr">
        <is>
          <t>TechPro Elective (All Other Electives)</t>
        </is>
      </c>
      <c r="DJ83" s="202" t="inlineStr">
        <is>
          <t>AGRI-FISHERY BUSINESS AND FOOD INNOVATION</t>
        </is>
      </c>
      <c r="DK83" s="202" t="inlineStr">
        <is>
          <t>Aquaculture</t>
        </is>
      </c>
      <c r="DL83" s="202" t="n">
        <v>4</v>
      </c>
      <c r="DM83" s="202" t="n">
        <v>2</v>
      </c>
      <c r="DN83" s="203" t="inlineStr">
        <is>
          <t>11/12</t>
        </is>
      </c>
    </row>
    <row r="84">
      <c r="U84" s="206" t="n"/>
      <c r="AP84" s="206" t="n"/>
      <c r="BK84" s="206" t="n"/>
      <c r="CF84" s="206" t="n"/>
      <c r="CT84" s="199" t="n">
        <v>31</v>
      </c>
      <c r="DD84" s="233" t="n"/>
      <c r="DI84" s="201" t="inlineStr">
        <is>
          <t>TechPro Elective (All Other Electives)</t>
        </is>
      </c>
      <c r="DJ84" s="202" t="inlineStr">
        <is>
          <t>AGRI-FISHERY BUSINESS AND FOOD INNOVATION</t>
        </is>
      </c>
      <c r="DK84" s="202" t="inlineStr">
        <is>
          <t>Fish Capture Operation</t>
        </is>
      </c>
      <c r="DL84" s="202" t="n">
        <v>4</v>
      </c>
      <c r="DM84" s="202" t="n">
        <v>2</v>
      </c>
      <c r="DN84" s="203" t="inlineStr">
        <is>
          <t>11/12</t>
        </is>
      </c>
    </row>
    <row r="85">
      <c r="U85" s="206" t="n"/>
      <c r="AP85" s="206" t="n"/>
      <c r="BK85" s="206" t="n"/>
      <c r="CF85" s="206" t="n"/>
      <c r="CT85" s="199" t="n">
        <v>32</v>
      </c>
      <c r="DD85" s="233" t="n"/>
      <c r="DI85" s="201" t="inlineStr">
        <is>
          <t>TechPro Elective (All Other Electives)</t>
        </is>
      </c>
      <c r="DJ85" s="202" t="inlineStr">
        <is>
          <t>AGRI-FISHERY BUSINESS AND FOOD INNOVATION</t>
        </is>
      </c>
      <c r="DK85" s="202" t="inlineStr">
        <is>
          <t>Food Processing</t>
        </is>
      </c>
      <c r="DL85" s="202" t="n">
        <v>4</v>
      </c>
      <c r="DM85" s="202" t="n">
        <v>2</v>
      </c>
      <c r="DN85" s="203" t="inlineStr">
        <is>
          <t>11/12</t>
        </is>
      </c>
    </row>
    <row r="86">
      <c r="U86" s="206" t="n"/>
      <c r="AP86" s="206" t="n"/>
      <c r="BK86" s="206" t="n"/>
      <c r="CF86" s="206" t="n"/>
      <c r="CT86" s="199" t="n">
        <v>33</v>
      </c>
      <c r="DD86" s="233" t="n"/>
      <c r="DI86" s="201" t="inlineStr">
        <is>
          <t>TechPro Elective (All Other Electives)</t>
        </is>
      </c>
      <c r="DJ86" s="202" t="inlineStr">
        <is>
          <t>AGRI-FISHERY BUSINESS AND FOOD INNOVATION</t>
        </is>
      </c>
      <c r="DK86" s="202" t="inlineStr">
        <is>
          <t>Organic Agriculture Production</t>
        </is>
      </c>
      <c r="DL86" s="202" t="n">
        <v>4</v>
      </c>
      <c r="DM86" s="202" t="n">
        <v>2</v>
      </c>
      <c r="DN86" s="203" t="inlineStr">
        <is>
          <t>11/12</t>
        </is>
      </c>
    </row>
    <row r="87">
      <c r="U87" s="206" t="n"/>
      <c r="AP87" s="206" t="n"/>
      <c r="BK87" s="206" t="n"/>
      <c r="CF87" s="206" t="n"/>
      <c r="CT87" s="199" t="n">
        <v>34</v>
      </c>
      <c r="DD87" s="233" t="n"/>
      <c r="DI87" s="201" t="inlineStr">
        <is>
          <t>TechPro Elective (All Other Electives)</t>
        </is>
      </c>
      <c r="DJ87" s="202" t="inlineStr">
        <is>
          <t>AGRI-FISHERY BUSINESS AND FOOD INNOVATION</t>
        </is>
      </c>
      <c r="DK87" s="202" t="inlineStr">
        <is>
          <t>Poultry Production (Chicken)</t>
        </is>
      </c>
      <c r="DL87" s="202" t="n">
        <v>4</v>
      </c>
      <c r="DM87" s="202" t="n">
        <v>2</v>
      </c>
      <c r="DN87" s="203" t="inlineStr">
        <is>
          <t>11/12</t>
        </is>
      </c>
    </row>
    <row r="88">
      <c r="U88" s="206" t="n"/>
      <c r="AP88" s="206" t="n"/>
      <c r="BK88" s="206" t="n"/>
      <c r="CF88" s="206" t="n"/>
      <c r="CT88" s="199" t="n">
        <v>35</v>
      </c>
      <c r="DD88" s="233" t="n"/>
      <c r="DI88" s="201" t="inlineStr">
        <is>
          <t>TechPro Elective (All Other Electives)</t>
        </is>
      </c>
      <c r="DJ88" s="202" t="inlineStr">
        <is>
          <t>AGRI-FISHERY BUSINESS AND FOOD INNOVATION</t>
        </is>
      </c>
      <c r="DK88" s="202" t="inlineStr">
        <is>
          <t>Ruminants Production</t>
        </is>
      </c>
      <c r="DL88" s="202" t="n">
        <v>4</v>
      </c>
      <c r="DM88" s="202" t="n">
        <v>2</v>
      </c>
      <c r="DN88" s="203" t="inlineStr">
        <is>
          <t>11/12</t>
        </is>
      </c>
    </row>
    <row r="89">
      <c r="U89" s="206" t="n"/>
      <c r="AP89" s="206" t="n"/>
      <c r="BK89" s="206" t="n"/>
      <c r="CF89" s="206" t="n"/>
      <c r="CT89" s="199" t="n">
        <v>36</v>
      </c>
      <c r="DD89" s="233" t="n"/>
      <c r="DI89" s="201" t="inlineStr">
        <is>
          <t>TechPro Elective (All Other Electives)</t>
        </is>
      </c>
      <c r="DJ89" s="202" t="inlineStr">
        <is>
          <t>AGRI-FISHERY BUSINESS AND FOOD INNOVATION</t>
        </is>
      </c>
      <c r="DK89" s="202" t="inlineStr">
        <is>
          <t>Swine Production</t>
        </is>
      </c>
      <c r="DL89" s="202" t="n">
        <v>4</v>
      </c>
      <c r="DM89" s="202" t="n">
        <v>2</v>
      </c>
      <c r="DN89" s="203" t="inlineStr">
        <is>
          <t>11/12</t>
        </is>
      </c>
    </row>
    <row r="90">
      <c r="U90" s="206" t="n"/>
      <c r="AP90" s="206" t="n"/>
      <c r="BK90" s="206" t="n"/>
      <c r="CF90" s="206" t="n"/>
      <c r="CT90" s="199" t="n">
        <v>37</v>
      </c>
      <c r="DD90" s="233" t="n"/>
      <c r="DI90" s="201" t="inlineStr">
        <is>
          <t>TechPro Elective (All Other Electives)</t>
        </is>
      </c>
      <c r="DJ90" s="202" t="inlineStr">
        <is>
          <t>ARTISANRY AND CREATIVE ENTERPRISE</t>
        </is>
      </c>
      <c r="DK90" s="202" t="inlineStr">
        <is>
          <t>Garments Artisanry</t>
        </is>
      </c>
      <c r="DL90" s="202" t="n">
        <v>4</v>
      </c>
      <c r="DM90" s="202" t="n">
        <v>2</v>
      </c>
      <c r="DN90" s="203" t="inlineStr">
        <is>
          <t>11/12</t>
        </is>
      </c>
    </row>
    <row r="91">
      <c r="U91" s="206" t="n"/>
      <c r="AP91" s="206" t="n"/>
      <c r="BK91" s="206" t="n"/>
      <c r="CF91" s="206" t="n"/>
      <c r="CT91" s="199" t="n">
        <v>38</v>
      </c>
      <c r="DD91" s="233" t="n"/>
      <c r="DI91" s="201" t="inlineStr">
        <is>
          <t>TechPro Elective (All Other Electives)</t>
        </is>
      </c>
      <c r="DJ91" s="202" t="inlineStr">
        <is>
          <t>ARTISANRY AND CREATIVE ENTERPRISE</t>
        </is>
      </c>
      <c r="DK91" s="202" t="inlineStr">
        <is>
          <t>Handicrafts (Weaving)</t>
        </is>
      </c>
      <c r="DL91" s="202" t="n">
        <v>4</v>
      </c>
      <c r="DM91" s="202" t="n">
        <v>2</v>
      </c>
      <c r="DN91" s="203" t="inlineStr">
        <is>
          <t>11/12</t>
        </is>
      </c>
    </row>
    <row r="92">
      <c r="U92" s="206" t="n"/>
      <c r="AP92" s="206" t="n"/>
      <c r="BK92" s="206" t="n"/>
      <c r="CF92" s="206" t="n"/>
      <c r="CT92" s="199" t="n">
        <v>39</v>
      </c>
      <c r="DD92" s="233" t="n"/>
      <c r="DI92" s="201" t="inlineStr">
        <is>
          <t>TechPro Elective (All Other Electives)</t>
        </is>
      </c>
      <c r="DJ92" s="202" t="inlineStr">
        <is>
          <t>AUTOMOTIVE AND SMALL ENGINE TECHNOLOGIES</t>
        </is>
      </c>
      <c r="DK92" s="202" t="inlineStr">
        <is>
          <t>Automotive Servicing (Electrical Repair)</t>
        </is>
      </c>
      <c r="DL92" s="202" t="n">
        <v>4</v>
      </c>
      <c r="DM92" s="202" t="n">
        <v>2</v>
      </c>
      <c r="DN92" s="203" t="inlineStr">
        <is>
          <t>11/12</t>
        </is>
      </c>
    </row>
    <row r="93">
      <c r="U93" s="206" t="n"/>
      <c r="AP93" s="206" t="n"/>
      <c r="BK93" s="206" t="n"/>
      <c r="CF93" s="206" t="n"/>
      <c r="CT93" s="199" t="n">
        <v>40</v>
      </c>
      <c r="DD93" s="233" t="n"/>
      <c r="DI93" s="201" t="inlineStr">
        <is>
          <t>TechPro Elective (All Other Electives)</t>
        </is>
      </c>
      <c r="DJ93" s="202" t="inlineStr">
        <is>
          <t>AUTOMOTIVE AND SMALL ENGINE TECHNOLOGIES</t>
        </is>
      </c>
      <c r="DK93" s="202" t="inlineStr">
        <is>
          <t>Automotive Servicing (Engine and Chassis Repairs)</t>
        </is>
      </c>
      <c r="DL93" s="202" t="n">
        <v>4</v>
      </c>
      <c r="DM93" s="202" t="n">
        <v>2</v>
      </c>
      <c r="DN93" s="203" t="inlineStr">
        <is>
          <t>11/12</t>
        </is>
      </c>
    </row>
    <row r="94">
      <c r="U94" s="206" t="n"/>
      <c r="AP94" s="206" t="n"/>
      <c r="BK94" s="206" t="n"/>
      <c r="CF94" s="206" t="n"/>
      <c r="CT94" s="199" t="n">
        <v>41</v>
      </c>
      <c r="DD94" s="233" t="n"/>
      <c r="DI94" s="201" t="inlineStr">
        <is>
          <t>TechPro Elective (All Other Electives)</t>
        </is>
      </c>
      <c r="DJ94" s="202" t="inlineStr">
        <is>
          <t>AUTOMOTIVE AND SMALL ENGINE TECHNOLOGIES</t>
        </is>
      </c>
      <c r="DK94" s="202" t="inlineStr">
        <is>
          <t>Driving and Automotive Servicing</t>
        </is>
      </c>
      <c r="DL94" s="202" t="n">
        <v>4</v>
      </c>
      <c r="DM94" s="202" t="n">
        <v>2</v>
      </c>
      <c r="DN94" s="203" t="inlineStr">
        <is>
          <t>11/12</t>
        </is>
      </c>
    </row>
    <row r="95">
      <c r="U95" s="206" t="n"/>
      <c r="AP95" s="206" t="n"/>
      <c r="BK95" s="206" t="n"/>
      <c r="CF95" s="206" t="n"/>
      <c r="CT95" s="199" t="n">
        <v>42</v>
      </c>
      <c r="DD95" s="233" t="n"/>
      <c r="DI95" s="201" t="inlineStr">
        <is>
          <t>TechPro Elective (All Other Electives)</t>
        </is>
      </c>
      <c r="DJ95" s="202" t="inlineStr">
        <is>
          <t>AUTOMOTIVE AND SMALL ENGINE TECHNOLOGIES</t>
        </is>
      </c>
      <c r="DK95" s="202" t="inlineStr">
        <is>
          <t>Motorcycle and Small Engine Servicing</t>
        </is>
      </c>
      <c r="DL95" s="202" t="n">
        <v>4</v>
      </c>
      <c r="DM95" s="202" t="n">
        <v>2</v>
      </c>
      <c r="DN95" s="203" t="inlineStr">
        <is>
          <t>11/12</t>
        </is>
      </c>
    </row>
    <row r="96">
      <c r="U96" s="206" t="n"/>
      <c r="AP96" s="206" t="n"/>
      <c r="BK96" s="206" t="n"/>
      <c r="CF96" s="206" t="n"/>
      <c r="CT96" s="199" t="n">
        <v>43</v>
      </c>
      <c r="DD96" s="233" t="n"/>
      <c r="DI96" s="201" t="inlineStr">
        <is>
          <t>TechPro Elective (All Other Electives)</t>
        </is>
      </c>
      <c r="DJ96" s="202" t="inlineStr">
        <is>
          <t>CONSTRUCTION AND BUILDING TECHNOLOGIES</t>
        </is>
      </c>
      <c r="DK96" s="202" t="inlineStr">
        <is>
          <t>Carpentry</t>
        </is>
      </c>
      <c r="DL96" s="202" t="n">
        <v>4</v>
      </c>
      <c r="DM96" s="202" t="n">
        <v>2</v>
      </c>
      <c r="DN96" s="203" t="inlineStr">
        <is>
          <t>11/12</t>
        </is>
      </c>
    </row>
    <row r="97">
      <c r="U97" s="206" t="n"/>
      <c r="AP97" s="206" t="n"/>
      <c r="BK97" s="206" t="n"/>
      <c r="CF97" s="206" t="n"/>
      <c r="CT97" s="199" t="n">
        <v>44</v>
      </c>
      <c r="DD97" s="233" t="n"/>
      <c r="DI97" s="201" t="inlineStr">
        <is>
          <t>TechPro Elective (All Other Electives)</t>
        </is>
      </c>
      <c r="DJ97" s="202" t="inlineStr">
        <is>
          <t>CONSTRUCTION AND BUILDING TECHNOLOGIES</t>
        </is>
      </c>
      <c r="DK97" s="202" t="inlineStr">
        <is>
          <t>Construction Operation</t>
        </is>
      </c>
      <c r="DL97" s="202" t="n">
        <v>4</v>
      </c>
      <c r="DM97" s="202" t="n">
        <v>2</v>
      </c>
      <c r="DN97" s="203" t="inlineStr">
        <is>
          <t>11/12</t>
        </is>
      </c>
    </row>
    <row r="98">
      <c r="U98" s="206" t="n"/>
      <c r="AP98" s="206" t="n"/>
      <c r="BK98" s="206" t="n"/>
      <c r="CF98" s="206" t="n"/>
      <c r="CT98" s="199" t="n">
        <v>45</v>
      </c>
      <c r="DD98" s="233" t="n"/>
      <c r="DI98" s="201" t="inlineStr">
        <is>
          <t>TechPro Elective (All Other Electives)</t>
        </is>
      </c>
      <c r="DJ98" s="202" t="inlineStr">
        <is>
          <t>CONSTRUCTION AND BUILDING TECHNOLOGIES</t>
        </is>
      </c>
      <c r="DK98" s="202" t="inlineStr">
        <is>
          <t>Manual Metal Arc Welding</t>
        </is>
      </c>
      <c r="DL98" s="202" t="n">
        <v>4</v>
      </c>
      <c r="DM98" s="202" t="n">
        <v>2</v>
      </c>
      <c r="DN98" s="203" t="inlineStr">
        <is>
          <t>11/12</t>
        </is>
      </c>
    </row>
    <row r="99">
      <c r="U99" s="206" t="n"/>
      <c r="AP99" s="206" t="n"/>
      <c r="BK99" s="206" t="n"/>
      <c r="CF99" s="206" t="n"/>
      <c r="CT99" s="199" t="n">
        <v>46</v>
      </c>
      <c r="DD99" s="233" t="n"/>
      <c r="DI99" s="201" t="inlineStr">
        <is>
          <t>TechPro Elective (All Other Electives)</t>
        </is>
      </c>
      <c r="DJ99" s="202" t="inlineStr">
        <is>
          <t>CONSTRUCTION AND BUILDING TECHNOLOGIES</t>
        </is>
      </c>
      <c r="DK99" s="202" t="inlineStr">
        <is>
          <t>Technical Drafting</t>
        </is>
      </c>
      <c r="DL99" s="202" t="n">
        <v>4</v>
      </c>
      <c r="DM99" s="202" t="n">
        <v>2</v>
      </c>
      <c r="DN99" s="203" t="inlineStr">
        <is>
          <t>11/12</t>
        </is>
      </c>
    </row>
    <row r="100">
      <c r="U100" s="206" t="n"/>
      <c r="AP100" s="206" t="n"/>
      <c r="BK100" s="206" t="n"/>
      <c r="CF100" s="206" t="n"/>
      <c r="CT100" s="199" t="n">
        <v>47</v>
      </c>
      <c r="DD100" s="233" t="n"/>
      <c r="DI100" s="201" t="inlineStr">
        <is>
          <t>TechPro Elective (All Other Electives)</t>
        </is>
      </c>
      <c r="DJ100" s="202" t="inlineStr">
        <is>
          <t>CREATIVE ARTS AND DESIGN TECHNOLOGIES</t>
        </is>
      </c>
      <c r="DK100" s="202" t="inlineStr">
        <is>
          <t>Animation</t>
        </is>
      </c>
      <c r="DL100" s="202" t="n">
        <v>4</v>
      </c>
      <c r="DM100" s="202" t="n">
        <v>2</v>
      </c>
      <c r="DN100" s="203" t="inlineStr">
        <is>
          <t>11/12</t>
        </is>
      </c>
    </row>
    <row r="101">
      <c r="U101" s="206" t="n"/>
      <c r="AP101" s="206" t="n"/>
      <c r="BK101" s="206" t="n"/>
      <c r="CF101" s="206" t="n"/>
      <c r="CT101" s="199" t="n">
        <v>48</v>
      </c>
      <c r="DD101" s="233" t="n"/>
      <c r="DI101" s="201" t="inlineStr">
        <is>
          <t>TechPro Elective (All Other Electives)</t>
        </is>
      </c>
      <c r="DJ101" s="202" t="inlineStr">
        <is>
          <t>CREATIVE ARTS AND DESIGN TECHNOLOGIES</t>
        </is>
      </c>
      <c r="DK101" s="202" t="inlineStr">
        <is>
          <t>Illustration</t>
        </is>
      </c>
      <c r="DL101" s="202" t="n">
        <v>4</v>
      </c>
      <c r="DM101" s="202" t="n">
        <v>2</v>
      </c>
      <c r="DN101" s="203" t="inlineStr">
        <is>
          <t>11/12</t>
        </is>
      </c>
    </row>
    <row r="102">
      <c r="U102" s="206" t="n"/>
      <c r="AP102" s="206" t="n"/>
      <c r="BK102" s="206" t="n"/>
      <c r="CF102" s="206" t="n"/>
      <c r="CT102" s="199" t="n">
        <v>49</v>
      </c>
      <c r="DD102" s="233" t="n"/>
      <c r="DI102" s="201" t="inlineStr">
        <is>
          <t>TechPro Elective (All Other Electives)</t>
        </is>
      </c>
      <c r="DJ102" s="202" t="inlineStr">
        <is>
          <t>CREATIVE ARTS AND DESIGN TECHNOLOGIES</t>
        </is>
      </c>
      <c r="DK102" s="202" t="inlineStr">
        <is>
          <t>Visual Graphics Design</t>
        </is>
      </c>
      <c r="DL102" s="202" t="n">
        <v>4</v>
      </c>
      <c r="DM102" s="202" t="n">
        <v>2</v>
      </c>
      <c r="DN102" s="203" t="inlineStr">
        <is>
          <t>11/12</t>
        </is>
      </c>
    </row>
    <row r="103">
      <c r="U103" s="206" t="n"/>
      <c r="AP103" s="206" t="n"/>
      <c r="BK103" s="206" t="n"/>
      <c r="CF103" s="206" t="n"/>
      <c r="CT103" s="199" t="n">
        <v>50</v>
      </c>
      <c r="DD103" s="233" t="n"/>
      <c r="DI103" s="201" t="inlineStr">
        <is>
          <t>TechPro Elective (All Other Electives)</t>
        </is>
      </c>
      <c r="DJ103" s="202" t="inlineStr">
        <is>
          <t>HOSPITALITY AND TOURISM</t>
        </is>
      </c>
      <c r="DK103" s="202" t="inlineStr">
        <is>
          <t>Bakery Operation</t>
        </is>
      </c>
      <c r="DL103" s="202" t="n">
        <v>4</v>
      </c>
      <c r="DM103" s="202" t="n">
        <v>2</v>
      </c>
      <c r="DN103" s="203" t="inlineStr">
        <is>
          <t>11/12</t>
        </is>
      </c>
    </row>
    <row r="104">
      <c r="U104" s="206" t="n"/>
      <c r="AP104" s="206" t="n"/>
      <c r="BK104" s="206" t="n"/>
      <c r="CF104" s="206" t="n"/>
      <c r="DD104" s="233" t="n"/>
      <c r="DI104" s="201" t="inlineStr">
        <is>
          <t>TechPro Elective (All Other Electives)</t>
        </is>
      </c>
      <c r="DJ104" s="202" t="inlineStr">
        <is>
          <t>HOSPITALITY AND TOURISM</t>
        </is>
      </c>
      <c r="DK104" s="202" t="inlineStr">
        <is>
          <t>Events Management Services</t>
        </is>
      </c>
      <c r="DL104" s="202" t="n">
        <v>4</v>
      </c>
      <c r="DM104" s="202" t="n">
        <v>2</v>
      </c>
      <c r="DN104" s="203" t="inlineStr">
        <is>
          <t>11/12</t>
        </is>
      </c>
    </row>
    <row r="105">
      <c r="U105" s="206" t="n"/>
      <c r="AP105" s="206" t="n"/>
      <c r="BK105" s="206" t="n"/>
      <c r="CF105" s="206" t="n"/>
      <c r="DD105" s="233" t="n"/>
      <c r="DI105" s="201" t="inlineStr">
        <is>
          <t>TechPro Elective (All Other Electives)</t>
        </is>
      </c>
      <c r="DJ105" s="202" t="inlineStr">
        <is>
          <t>HOSPITALITY AND TOURISM</t>
        </is>
      </c>
      <c r="DK105" s="202" t="inlineStr">
        <is>
          <t>Food and Beverage Operation</t>
        </is>
      </c>
      <c r="DL105" s="202" t="n">
        <v>4</v>
      </c>
      <c r="DM105" s="202" t="n">
        <v>2</v>
      </c>
      <c r="DN105" s="203" t="inlineStr">
        <is>
          <t>11/12</t>
        </is>
      </c>
    </row>
    <row r="106">
      <c r="U106" s="206" t="n"/>
      <c r="AP106" s="206" t="n"/>
      <c r="BK106" s="206" t="n"/>
      <c r="CF106" s="206" t="n"/>
      <c r="DD106" s="233" t="n"/>
      <c r="DI106" s="201" t="inlineStr">
        <is>
          <t>TechPro Elective (All Other Electives)</t>
        </is>
      </c>
      <c r="DJ106" s="202" t="inlineStr">
        <is>
          <t>HOSPITALITY AND TOURISM</t>
        </is>
      </c>
      <c r="DK106" s="202" t="inlineStr">
        <is>
          <t>Hotel Operation (Front Office Services)</t>
        </is>
      </c>
      <c r="DL106" s="202" t="n">
        <v>4</v>
      </c>
      <c r="DM106" s="202" t="n">
        <v>2</v>
      </c>
      <c r="DN106" s="203" t="inlineStr">
        <is>
          <t>11/12</t>
        </is>
      </c>
    </row>
    <row r="107">
      <c r="U107" s="206" t="n"/>
      <c r="AP107" s="206" t="n"/>
      <c r="BK107" s="206" t="n"/>
      <c r="CF107" s="206" t="n"/>
      <c r="DD107" s="233" t="n"/>
      <c r="DI107" s="201" t="inlineStr">
        <is>
          <t>TechPro Elective (All Other Electives)</t>
        </is>
      </c>
      <c r="DJ107" s="202" t="inlineStr">
        <is>
          <t>HOSPITALITY AND TOURISM</t>
        </is>
      </c>
      <c r="DK107" s="202" t="inlineStr">
        <is>
          <t>Hotel Operation (Housekeeping Services)</t>
        </is>
      </c>
      <c r="DL107" s="202" t="n">
        <v>4</v>
      </c>
      <c r="DM107" s="202" t="n">
        <v>2</v>
      </c>
      <c r="DN107" s="203" t="inlineStr">
        <is>
          <t>11/12</t>
        </is>
      </c>
    </row>
    <row r="108">
      <c r="U108" s="206" t="n"/>
      <c r="AP108" s="206" t="n"/>
      <c r="BK108" s="206" t="n"/>
      <c r="CF108" s="206" t="n"/>
      <c r="DD108" s="233" t="n"/>
      <c r="DI108" s="201" t="inlineStr">
        <is>
          <t>TechPro Elective (All Other Electives)</t>
        </is>
      </c>
      <c r="DJ108" s="202" t="inlineStr">
        <is>
          <t>HOSPITALITY AND TOURISM</t>
        </is>
      </c>
      <c r="DK108" s="202" t="inlineStr">
        <is>
          <t>Kitchen Operations</t>
        </is>
      </c>
      <c r="DL108" s="202" t="n">
        <v>4</v>
      </c>
      <c r="DM108" s="202" t="n">
        <v>2</v>
      </c>
      <c r="DN108" s="203" t="inlineStr">
        <is>
          <t>11/12</t>
        </is>
      </c>
    </row>
    <row r="109">
      <c r="U109" s="206" t="n"/>
      <c r="AP109" s="206" t="n"/>
      <c r="BK109" s="206" t="n"/>
      <c r="CF109" s="206" t="n"/>
      <c r="DD109" s="233" t="n"/>
      <c r="DI109" s="201" t="inlineStr">
        <is>
          <t>TechPro Elective (All Other Electives)</t>
        </is>
      </c>
      <c r="DJ109" s="202" t="inlineStr">
        <is>
          <t>HOSPITALITY AND TOURISM</t>
        </is>
      </c>
      <c r="DK109" s="202" t="inlineStr">
        <is>
          <t>Tourism Services</t>
        </is>
      </c>
      <c r="DL109" s="202" t="n">
        <v>4</v>
      </c>
      <c r="DM109" s="202" t="n">
        <v>2</v>
      </c>
      <c r="DN109" s="203" t="inlineStr">
        <is>
          <t>11/12</t>
        </is>
      </c>
    </row>
    <row r="110">
      <c r="U110" s="206" t="n"/>
      <c r="AP110" s="206" t="n"/>
      <c r="BK110" s="206" t="n"/>
      <c r="CF110" s="206" t="n"/>
      <c r="DD110" s="233" t="n"/>
      <c r="DI110" s="201" t="inlineStr">
        <is>
          <t>TechPro Elective (All Other Electives)</t>
        </is>
      </c>
      <c r="DJ110" s="202" t="inlineStr">
        <is>
          <t>INDUSTRIAL TECHNOLOGIES</t>
        </is>
      </c>
      <c r="DK110" s="202" t="inlineStr">
        <is>
          <t>Commercial Air-Conditioning Installation and Servicing</t>
        </is>
      </c>
      <c r="DL110" s="202" t="n">
        <v>4</v>
      </c>
      <c r="DM110" s="202" t="n">
        <v>2</v>
      </c>
      <c r="DN110" s="203" t="inlineStr">
        <is>
          <t>11/12</t>
        </is>
      </c>
    </row>
    <row r="111">
      <c r="U111" s="206" t="n"/>
      <c r="AP111" s="206" t="n"/>
      <c r="BK111" s="206" t="n"/>
      <c r="CF111" s="206" t="n"/>
      <c r="DD111" s="233" t="n"/>
      <c r="DI111" s="201" t="inlineStr">
        <is>
          <t>TechPro Elective (All Other Electives)</t>
        </is>
      </c>
      <c r="DJ111" s="202" t="inlineStr">
        <is>
          <t>INDUSTRIAL TECHNOLOGIES</t>
        </is>
      </c>
      <c r="DK111" s="202" t="inlineStr">
        <is>
          <t>Domestic Refrigeration and Air-Conditioning Servicing</t>
        </is>
      </c>
      <c r="DL111" s="202" t="n">
        <v>4</v>
      </c>
      <c r="DM111" s="202" t="n">
        <v>2</v>
      </c>
      <c r="DN111" s="203" t="inlineStr">
        <is>
          <t>11/12</t>
        </is>
      </c>
    </row>
    <row r="112">
      <c r="U112" s="206" t="n"/>
      <c r="AP112" s="206" t="n"/>
      <c r="BK112" s="206" t="n"/>
      <c r="CF112" s="206" t="n"/>
      <c r="DD112" s="233" t="n"/>
      <c r="DI112" s="201" t="inlineStr">
        <is>
          <t>TechPro Elective (All Other Electives)</t>
        </is>
      </c>
      <c r="DJ112" s="202" t="inlineStr">
        <is>
          <t>INDUSTRIAL TECHNOLOGIES</t>
        </is>
      </c>
      <c r="DK112" s="202" t="inlineStr">
        <is>
          <t>Electrical Installation Maintenance</t>
        </is>
      </c>
      <c r="DL112" s="202" t="n">
        <v>4</v>
      </c>
      <c r="DM112" s="202" t="n">
        <v>2</v>
      </c>
      <c r="DN112" s="203" t="inlineStr">
        <is>
          <t>11/12</t>
        </is>
      </c>
    </row>
    <row r="113">
      <c r="U113" s="206" t="n"/>
      <c r="AP113" s="206" t="n"/>
      <c r="BK113" s="206" t="n"/>
      <c r="CF113" s="206" t="n"/>
      <c r="DD113" s="233" t="n"/>
      <c r="DI113" s="201" t="inlineStr">
        <is>
          <t>TechPro Elective (All Other Electives)</t>
        </is>
      </c>
      <c r="DJ113" s="202" t="inlineStr">
        <is>
          <t>INDUSTRIAL TECHNOLOGIES</t>
        </is>
      </c>
      <c r="DK113" s="202" t="inlineStr">
        <is>
          <t>Electronics Product Assembly and Servicing</t>
        </is>
      </c>
      <c r="DL113" s="202" t="n">
        <v>4</v>
      </c>
      <c r="DM113" s="202" t="n">
        <v>2</v>
      </c>
      <c r="DN113" s="203" t="inlineStr">
        <is>
          <t>11/12</t>
        </is>
      </c>
    </row>
    <row r="114">
      <c r="U114" s="206" t="n"/>
      <c r="AP114" s="206" t="n"/>
      <c r="BK114" s="206" t="n"/>
      <c r="CF114" s="206" t="n"/>
      <c r="DD114" s="233" t="n"/>
      <c r="DI114" s="201" t="inlineStr">
        <is>
          <t>TechPro Elective (All Other Electives)</t>
        </is>
      </c>
      <c r="DJ114" s="202" t="inlineStr">
        <is>
          <t>INDUSTRIAL TECHNOLOGIES</t>
        </is>
      </c>
      <c r="DK114" s="202" t="inlineStr">
        <is>
          <t>Mechatronics</t>
        </is>
      </c>
      <c r="DL114" s="202" t="n">
        <v>4</v>
      </c>
      <c r="DM114" s="202" t="n">
        <v>2</v>
      </c>
      <c r="DN114" s="203" t="inlineStr">
        <is>
          <t>11/12</t>
        </is>
      </c>
    </row>
    <row r="115">
      <c r="U115" s="206" t="n"/>
      <c r="AP115" s="206" t="n"/>
      <c r="BK115" s="206" t="n"/>
      <c r="CF115" s="206" t="n"/>
      <c r="DD115" s="233" t="n"/>
      <c r="DI115" s="201" t="inlineStr">
        <is>
          <t>TechPro Elective (All Other Electives)</t>
        </is>
      </c>
      <c r="DJ115" s="202" t="inlineStr">
        <is>
          <t>INDUSTRIAL TECHNOLOGIES</t>
        </is>
      </c>
      <c r="DK115" s="202" t="inlineStr">
        <is>
          <t>Photovoltaic Systems Installation</t>
        </is>
      </c>
      <c r="DL115" s="202" t="n">
        <v>4</v>
      </c>
      <c r="DM115" s="202" t="n">
        <v>2</v>
      </c>
      <c r="DN115" s="203" t="inlineStr">
        <is>
          <t>11/12</t>
        </is>
      </c>
    </row>
    <row r="116">
      <c r="U116" s="206" t="n"/>
      <c r="AP116" s="206" t="n"/>
      <c r="BK116" s="206" t="n"/>
      <c r="CF116" s="206" t="n"/>
      <c r="DD116" s="233" t="n"/>
      <c r="DI116" s="201" t="inlineStr">
        <is>
          <t>TechPro Elective (All Other Electives)</t>
        </is>
      </c>
      <c r="DJ116" s="202" t="inlineStr">
        <is>
          <t>ICT SUPPORT AND COMPUTER PROGRAMMING TECHNOLOGIES</t>
        </is>
      </c>
      <c r="DK116" s="202" t="inlineStr">
        <is>
          <t>Broadband Installation</t>
        </is>
      </c>
      <c r="DL116" s="202" t="n">
        <v>4</v>
      </c>
      <c r="DM116" s="202" t="n">
        <v>2</v>
      </c>
      <c r="DN116" s="203" t="inlineStr">
        <is>
          <t>11/12</t>
        </is>
      </c>
    </row>
    <row r="117">
      <c r="U117" s="206" t="n"/>
      <c r="AP117" s="206" t="n"/>
      <c r="BK117" s="206" t="n"/>
      <c r="CF117" s="206" t="n"/>
      <c r="DD117" s="233" t="n"/>
      <c r="DI117" s="201" t="inlineStr">
        <is>
          <t>TechPro Elective (All Other Electives)</t>
        </is>
      </c>
      <c r="DJ117" s="202" t="inlineStr">
        <is>
          <t>ICT SUPPORT AND COMPUTER PROGRAMMING TECHNOLOGIES</t>
        </is>
      </c>
      <c r="DK117" s="202" t="inlineStr">
        <is>
          <t>Computer Programming (Java)</t>
        </is>
      </c>
      <c r="DL117" s="202" t="n">
        <v>4</v>
      </c>
      <c r="DM117" s="202" t="n">
        <v>2</v>
      </c>
      <c r="DN117" s="203" t="inlineStr">
        <is>
          <t>11/12</t>
        </is>
      </c>
    </row>
    <row r="118">
      <c r="U118" s="206" t="n"/>
      <c r="AP118" s="206" t="n"/>
      <c r="BK118" s="206" t="n"/>
      <c r="CF118" s="206" t="n"/>
      <c r="DD118" s="233" t="n"/>
      <c r="DI118" s="201" t="inlineStr">
        <is>
          <t>TechPro Elective (All Other Electives)</t>
        </is>
      </c>
      <c r="DJ118" s="202" t="inlineStr">
        <is>
          <t>ICT SUPPORT AND COMPUTER PROGRAMMING TECHNOLOGIES</t>
        </is>
      </c>
      <c r="DK118" s="202" t="inlineStr">
        <is>
          <t>Computer Programming (.Net Technology)</t>
        </is>
      </c>
      <c r="DL118" s="202" t="n">
        <v>4</v>
      </c>
      <c r="DM118" s="202" t="n">
        <v>2</v>
      </c>
      <c r="DN118" s="203" t="inlineStr">
        <is>
          <t>11/12</t>
        </is>
      </c>
    </row>
    <row r="119">
      <c r="U119" s="206" t="n"/>
      <c r="AP119" s="206" t="n"/>
      <c r="BK119" s="206" t="n"/>
      <c r="CF119" s="206" t="n"/>
      <c r="DD119" s="233" t="n"/>
      <c r="DI119" s="201" t="inlineStr">
        <is>
          <t>TechPro Elective (All Other Electives)</t>
        </is>
      </c>
      <c r="DJ119" s="202" t="inlineStr">
        <is>
          <t>ICT SUPPORT AND COMPUTER PROGRAMMING TECHNOLOGIES</t>
        </is>
      </c>
      <c r="DK119" s="202" t="inlineStr">
        <is>
          <t>Computer Programming (Oracle Database)</t>
        </is>
      </c>
      <c r="DL119" s="202" t="n">
        <v>4</v>
      </c>
      <c r="DM119" s="202" t="n">
        <v>2</v>
      </c>
      <c r="DN119" s="203" t="inlineStr">
        <is>
          <t>11/12</t>
        </is>
      </c>
    </row>
    <row r="120">
      <c r="U120" s="206" t="n"/>
      <c r="AP120" s="206" t="n"/>
      <c r="BK120" s="206" t="n"/>
      <c r="CF120" s="206" t="n"/>
      <c r="DD120" s="233" t="n"/>
      <c r="DI120" s="201" t="inlineStr">
        <is>
          <t>TechPro Elective (All Other Electives)</t>
        </is>
      </c>
      <c r="DJ120" s="202" t="inlineStr">
        <is>
          <t>ICT SUPPORT AND COMPUTER PROGRAMMING TECHNOLOGIES</t>
        </is>
      </c>
      <c r="DK120" s="202" t="inlineStr">
        <is>
          <t>Computer Systems Servicing</t>
        </is>
      </c>
      <c r="DL120" s="202" t="n">
        <v>4</v>
      </c>
      <c r="DM120" s="202" t="n">
        <v>2</v>
      </c>
      <c r="DN120" s="203" t="inlineStr">
        <is>
          <t>11/12</t>
        </is>
      </c>
    </row>
    <row r="121">
      <c r="U121" s="206" t="n"/>
      <c r="AP121" s="206" t="n"/>
      <c r="BK121" s="206" t="n"/>
      <c r="CF121" s="206" t="n"/>
      <c r="DD121" s="233" t="n"/>
      <c r="DI121" s="201" t="inlineStr">
        <is>
          <t>TechPro Elective (All Other Electives)</t>
        </is>
      </c>
      <c r="DJ121" s="202" t="inlineStr">
        <is>
          <t>ICT SUPPORT AND COMPUTER PROGRAMMING TECHNOLOGIES</t>
        </is>
      </c>
      <c r="DK121" s="202" t="inlineStr">
        <is>
          <t>Contact Center Services</t>
        </is>
      </c>
      <c r="DL121" s="202" t="n">
        <v>4</v>
      </c>
      <c r="DM121" s="202" t="n">
        <v>2</v>
      </c>
      <c r="DN121" s="203" t="inlineStr">
        <is>
          <t>11/12</t>
        </is>
      </c>
    </row>
    <row r="122">
      <c r="U122" s="206" t="n"/>
      <c r="AP122" s="206" t="n"/>
      <c r="BK122" s="206" t="n"/>
      <c r="CF122" s="206" t="n"/>
      <c r="DD122" s="233" t="n"/>
      <c r="DI122" s="201" t="inlineStr">
        <is>
          <t>TechPro Elective (All Other Electives)</t>
        </is>
      </c>
      <c r="DJ122" s="202" t="inlineStr">
        <is>
          <t>MARITIME TRANSPORT</t>
        </is>
      </c>
      <c r="DK122" s="202" t="inlineStr">
        <is>
          <t>Marine Engineering at the Support Level</t>
        </is>
      </c>
      <c r="DL122" s="202" t="n">
        <v>4</v>
      </c>
      <c r="DM122" s="202" t="n">
        <v>2</v>
      </c>
      <c r="DN122" s="203" t="inlineStr">
        <is>
          <t>11/12</t>
        </is>
      </c>
    </row>
    <row r="123">
      <c r="U123" s="206" t="n"/>
      <c r="AP123" s="206" t="n"/>
      <c r="BK123" s="206" t="n"/>
      <c r="CF123" s="206" t="n"/>
      <c r="DD123" s="233" t="n"/>
      <c r="DI123" s="201" t="inlineStr">
        <is>
          <t>TechPro Elective (All Other Electives)</t>
        </is>
      </c>
      <c r="DJ123" s="202" t="inlineStr">
        <is>
          <t>MARITIME TRANSPORT</t>
        </is>
      </c>
      <c r="DK123" s="202" t="inlineStr">
        <is>
          <t>Marine Transportation at the Support Level</t>
        </is>
      </c>
      <c r="DL123" s="202" t="n">
        <v>4</v>
      </c>
      <c r="DM123" s="202" t="n">
        <v>2</v>
      </c>
      <c r="DN123" s="203" t="inlineStr">
        <is>
          <t>11/12</t>
        </is>
      </c>
    </row>
    <row r="124">
      <c r="U124" s="206" t="n"/>
      <c r="AP124" s="206" t="n"/>
      <c r="BK124" s="206" t="n"/>
      <c r="CF124" s="206" t="n"/>
      <c r="DD124" s="233" t="n"/>
      <c r="DI124" s="201" t="inlineStr">
        <is>
          <t>TechPro Elective (All Other Electives)</t>
        </is>
      </c>
      <c r="DJ124" s="202" t="inlineStr">
        <is>
          <t>MARITIME TRANSPORT</t>
        </is>
      </c>
      <c r="DK124" s="202" t="inlineStr">
        <is>
          <t>Ships Catering Services</t>
        </is>
      </c>
      <c r="DL124" s="202" t="n">
        <v>4</v>
      </c>
      <c r="DM124" s="202" t="n">
        <v>2</v>
      </c>
      <c r="DN124" s="203" t="inlineStr">
        <is>
          <t>11/12</t>
        </is>
      </c>
    </row>
    <row r="125">
      <c r="U125" s="206" t="n"/>
      <c r="AP125" s="206" t="n"/>
      <c r="BK125" s="206" t="n"/>
      <c r="CF125" s="206" t="n"/>
      <c r="DD125" s="233" t="n"/>
      <c r="DI125" s="201" t="inlineStr">
        <is>
          <t>TechPro Elective (Work Immersion)</t>
        </is>
      </c>
      <c r="DJ125" s="202" t="inlineStr">
        <is>
          <t>AESTHETIC, WELLNESS AND HUMAN CARE CLUSTER</t>
        </is>
      </c>
      <c r="DK125" s="202" t="inlineStr">
        <is>
          <t>Work Immersion - Aesthetic, Wellness And Human Care Cluster</t>
        </is>
      </c>
      <c r="DL125" s="202" t="n">
        <v>4</v>
      </c>
      <c r="DM125" s="202" t="n">
        <v>2</v>
      </c>
      <c r="DN125" s="203" t="inlineStr">
        <is>
          <t>11/12</t>
        </is>
      </c>
    </row>
    <row r="126">
      <c r="U126" s="206" t="n"/>
      <c r="AP126" s="206" t="n"/>
      <c r="BK126" s="206" t="n"/>
      <c r="CF126" s="206" t="n"/>
      <c r="DD126" s="233" t="n"/>
      <c r="DI126" s="201" t="inlineStr">
        <is>
          <t>TechPro Elective (Work Immersion)</t>
        </is>
      </c>
      <c r="DJ126" s="202" t="inlineStr">
        <is>
          <t>AGRI-FISHERY BUSINESS AND FOOD INNOVATION</t>
        </is>
      </c>
      <c r="DK126" s="202" t="inlineStr">
        <is>
          <t>Work Immersion - Agri-Fishery Business And Food Innovation</t>
        </is>
      </c>
      <c r="DL126" s="202" t="n">
        <v>4</v>
      </c>
      <c r="DM126" s="202" t="n">
        <v>2</v>
      </c>
      <c r="DN126" s="203" t="inlineStr">
        <is>
          <t>11/12</t>
        </is>
      </c>
    </row>
    <row r="127">
      <c r="U127" s="206" t="n"/>
      <c r="AP127" s="206" t="n"/>
      <c r="BK127" s="206" t="n"/>
      <c r="CF127" s="206" t="n"/>
      <c r="DD127" s="233" t="n"/>
      <c r="DI127" s="201" t="inlineStr">
        <is>
          <t>TechPro Elective (Work Immersion)</t>
        </is>
      </c>
      <c r="DJ127" s="202" t="inlineStr">
        <is>
          <t>ARTISANRY AND CREATIVE ENTERPRISE</t>
        </is>
      </c>
      <c r="DK127" s="202" t="inlineStr">
        <is>
          <t>Work Immersion - Artisanry And Creative Enterprise</t>
        </is>
      </c>
      <c r="DL127" s="202" t="n">
        <v>4</v>
      </c>
      <c r="DM127" s="202" t="n">
        <v>2</v>
      </c>
      <c r="DN127" s="203" t="inlineStr">
        <is>
          <t>11/12</t>
        </is>
      </c>
    </row>
    <row r="128">
      <c r="U128" s="206" t="n"/>
      <c r="AP128" s="206" t="n"/>
      <c r="BK128" s="206" t="n"/>
      <c r="CF128" s="206" t="n"/>
      <c r="DD128" s="233" t="n"/>
      <c r="DI128" s="201" t="inlineStr">
        <is>
          <t>TechPro Elective (Work Immersion)</t>
        </is>
      </c>
      <c r="DJ128" s="202" t="inlineStr">
        <is>
          <t>AUTOMOTIVE AND SMALL ENGINE TECHNOLOGIES</t>
        </is>
      </c>
      <c r="DK128" s="202" t="inlineStr">
        <is>
          <t>Work Immersion - Automotive And Small Engine Technologies</t>
        </is>
      </c>
      <c r="DL128" s="202" t="n">
        <v>4</v>
      </c>
      <c r="DM128" s="202" t="n">
        <v>2</v>
      </c>
      <c r="DN128" s="203" t="inlineStr">
        <is>
          <t>11/12</t>
        </is>
      </c>
    </row>
    <row r="129">
      <c r="U129" s="206" t="n"/>
      <c r="AP129" s="206" t="n"/>
      <c r="BK129" s="206" t="n"/>
      <c r="CF129" s="206" t="n"/>
      <c r="DD129" s="233" t="n"/>
      <c r="DI129" s="201" t="inlineStr">
        <is>
          <t>TechPro Elective (Work Immersion)</t>
        </is>
      </c>
      <c r="DJ129" s="202" t="inlineStr">
        <is>
          <t>CONSTRUCTION AND BUILDING TECHNOLOGIES</t>
        </is>
      </c>
      <c r="DK129" s="202" t="inlineStr">
        <is>
          <t>Work Immersion - Construction And Building Technologies</t>
        </is>
      </c>
      <c r="DL129" s="202" t="n">
        <v>4</v>
      </c>
      <c r="DM129" s="202" t="n">
        <v>2</v>
      </c>
      <c r="DN129" s="203" t="inlineStr">
        <is>
          <t>11/12</t>
        </is>
      </c>
    </row>
    <row r="130">
      <c r="U130" s="206" t="n"/>
      <c r="AP130" s="206" t="n"/>
      <c r="BK130" s="206" t="n"/>
      <c r="CF130" s="206" t="n"/>
      <c r="DD130" s="233" t="n"/>
      <c r="DI130" s="201" t="inlineStr">
        <is>
          <t>TechPro Elective (Work Immersion)</t>
        </is>
      </c>
      <c r="DJ130" s="202" t="inlineStr">
        <is>
          <t>CREATIVE ARTS AND DESIGN TECHNOLOGIES</t>
        </is>
      </c>
      <c r="DK130" s="202" t="inlineStr">
        <is>
          <t>Work Immersion - Creative Arts And Design Technologies</t>
        </is>
      </c>
      <c r="DL130" s="202" t="n">
        <v>4</v>
      </c>
      <c r="DM130" s="202" t="n">
        <v>2</v>
      </c>
      <c r="DN130" s="203" t="inlineStr">
        <is>
          <t>11/12</t>
        </is>
      </c>
    </row>
    <row r="131">
      <c r="U131" s="206" t="n"/>
      <c r="AP131" s="206" t="n"/>
      <c r="BK131" s="206" t="n"/>
      <c r="CF131" s="206" t="n"/>
      <c r="DD131" s="233" t="n"/>
      <c r="DI131" s="201" t="inlineStr">
        <is>
          <t>TechPro Elective (Work Immersion)</t>
        </is>
      </c>
      <c r="DJ131" s="202" t="inlineStr">
        <is>
          <t>HOSPITALITY AND TOURISM</t>
        </is>
      </c>
      <c r="DK131" s="202" t="inlineStr">
        <is>
          <t>Work Immersion - Hospitality And Tourism</t>
        </is>
      </c>
      <c r="DL131" s="202" t="n">
        <v>4</v>
      </c>
      <c r="DM131" s="202" t="n">
        <v>2</v>
      </c>
      <c r="DN131" s="203" t="inlineStr">
        <is>
          <t>11/12</t>
        </is>
      </c>
    </row>
    <row r="132">
      <c r="U132" s="206" t="n"/>
      <c r="AP132" s="206" t="n"/>
      <c r="BK132" s="206" t="n"/>
      <c r="CF132" s="206" t="n"/>
      <c r="DD132" s="233" t="n"/>
      <c r="DI132" s="201" t="inlineStr">
        <is>
          <t>TechPro Elective (Work Immersion)</t>
        </is>
      </c>
      <c r="DJ132" s="202" t="inlineStr">
        <is>
          <t>INDUSTRIAL TECHNOLOGIES</t>
        </is>
      </c>
      <c r="DK132" s="202" t="inlineStr">
        <is>
          <t>Work Immersion - Industrial Technologies</t>
        </is>
      </c>
      <c r="DL132" s="202" t="n">
        <v>4</v>
      </c>
      <c r="DM132" s="202" t="n">
        <v>2</v>
      </c>
      <c r="DN132" s="203" t="inlineStr">
        <is>
          <t>11/12</t>
        </is>
      </c>
    </row>
    <row r="133">
      <c r="U133" s="206" t="n"/>
      <c r="AP133" s="206" t="n"/>
      <c r="BK133" s="206" t="n"/>
      <c r="CF133" s="206" t="n"/>
      <c r="DD133" s="233" t="n"/>
      <c r="DI133" s="201" t="inlineStr">
        <is>
          <t>TechPro Elective (Work Immersion)</t>
        </is>
      </c>
      <c r="DJ133" s="202" t="inlineStr">
        <is>
          <t>ICT SUPPORT AND COMPUTER PROGRAMMING TECHNOLOGIES</t>
        </is>
      </c>
      <c r="DK133" s="202" t="inlineStr">
        <is>
          <t>Work Immersion - Ict Support And Computer Programming Technologies</t>
        </is>
      </c>
      <c r="DL133" s="202" t="n">
        <v>4</v>
      </c>
      <c r="DM133" s="202" t="n">
        <v>2</v>
      </c>
      <c r="DN133" s="203" t="inlineStr">
        <is>
          <t>11/12</t>
        </is>
      </c>
    </row>
    <row r="134">
      <c r="U134" s="206" t="n"/>
      <c r="AP134" s="206" t="n"/>
      <c r="BK134" s="206" t="n"/>
      <c r="CF134" s="206" t="n"/>
      <c r="DD134" s="233" t="n"/>
      <c r="DI134" s="201" t="inlineStr">
        <is>
          <t>TechPro Elective (Work Immersion)</t>
        </is>
      </c>
      <c r="DJ134" s="202" t="inlineStr">
        <is>
          <t>MARITIME TRANSPORT</t>
        </is>
      </c>
      <c r="DK134" s="202" t="inlineStr">
        <is>
          <t>Work Immersion - Maritime Transport</t>
        </is>
      </c>
      <c r="DL134" s="202" t="n">
        <v>4</v>
      </c>
      <c r="DM134" s="202" t="n">
        <v>2</v>
      </c>
      <c r="DN134" s="203" t="inlineStr">
        <is>
          <t>11/12</t>
        </is>
      </c>
    </row>
    <row r="135">
      <c r="U135" s="206" t="n"/>
      <c r="AP135" s="206" t="n"/>
      <c r="BK135" s="206" t="n"/>
      <c r="CF135" s="206" t="n"/>
      <c r="DD135" s="233" t="n"/>
      <c r="DI135" s="237" t="inlineStr">
        <is>
          <t>Academic Elective (All Other Electives)</t>
        </is>
      </c>
      <c r="DJ135" s="238" t="n"/>
      <c r="DK135" s="241" t="inlineStr">
        <is>
          <t>Other Elective and Special Curricular Program</t>
        </is>
      </c>
      <c r="DL135" s="238" t="n">
        <v>4</v>
      </c>
      <c r="DM135" s="238" t="n">
        <v>2</v>
      </c>
      <c r="DN135" s="235" t="inlineStr">
        <is>
          <t>11/12</t>
        </is>
      </c>
    </row>
    <row r="136">
      <c r="U136" s="206" t="n"/>
      <c r="AP136" s="206" t="n"/>
      <c r="BK136" s="206" t="n"/>
      <c r="CF136" s="206" t="n"/>
      <c r="DD136" s="233" t="n"/>
      <c r="DI136" s="237" t="inlineStr">
        <is>
          <t>Academic Elective (Field Experience / Exposure, and Sports and Arts)</t>
        </is>
      </c>
      <c r="DJ136" s="238" t="n"/>
      <c r="DK136" s="238" t="inlineStr">
        <is>
          <t>Other Elective and Special Curricular Program</t>
        </is>
      </c>
      <c r="DL136" s="238" t="n">
        <v>4</v>
      </c>
      <c r="DM136" s="238" t="n">
        <v>2</v>
      </c>
      <c r="DN136" s="235" t="inlineStr">
        <is>
          <t>11/12</t>
        </is>
      </c>
    </row>
    <row r="137">
      <c r="U137" s="206" t="n"/>
      <c r="AP137" s="206" t="n"/>
      <c r="BK137" s="206" t="n"/>
      <c r="CF137" s="206" t="n"/>
      <c r="DD137" s="233" t="n"/>
      <c r="DI137" s="237" t="inlineStr">
        <is>
          <t>TechPro Elective (All Other Electives)</t>
        </is>
      </c>
      <c r="DJ137" s="238" t="n"/>
      <c r="DK137" s="238" t="inlineStr">
        <is>
          <t>Other Elective and Special Curricular Program</t>
        </is>
      </c>
      <c r="DL137" s="238" t="n">
        <v>4</v>
      </c>
      <c r="DM137" s="238" t="n">
        <v>2</v>
      </c>
      <c r="DN137" s="235" t="inlineStr">
        <is>
          <t>11/12</t>
        </is>
      </c>
    </row>
    <row r="138" ht="17.25" customHeight="1" thickBot="1">
      <c r="U138" s="206" t="n"/>
      <c r="AP138" s="206" t="n"/>
      <c r="BK138" s="206" t="n"/>
      <c r="CF138" s="206" t="n"/>
      <c r="DD138" s="233" t="n"/>
      <c r="DI138" s="239" t="inlineStr">
        <is>
          <t>TechPro Elective (Work Immersion)</t>
        </is>
      </c>
      <c r="DJ138" s="240" t="n"/>
      <c r="DK138" s="240" t="inlineStr">
        <is>
          <t>Other Elective and Special Curricular Program</t>
        </is>
      </c>
      <c r="DL138" s="240" t="n">
        <v>4</v>
      </c>
      <c r="DM138" s="240" t="n">
        <v>2</v>
      </c>
      <c r="DN138" s="236" t="inlineStr">
        <is>
          <t>11/12</t>
        </is>
      </c>
    </row>
    <row r="139">
      <c r="U139" s="206" t="n"/>
      <c r="AP139" s="206" t="n"/>
      <c r="BK139" s="206" t="n"/>
      <c r="CF139" s="206" t="n"/>
      <c r="DD139" s="233" t="n"/>
    </row>
    <row r="140">
      <c r="U140" s="206" t="n"/>
      <c r="AP140" s="206" t="n"/>
      <c r="BK140" s="206" t="n"/>
      <c r="CF140" s="206" t="n"/>
      <c r="DD140" s="233" t="n"/>
    </row>
    <row r="141">
      <c r="U141" s="206" t="n"/>
      <c r="AP141" s="206" t="n"/>
      <c r="BK141" s="206" t="n"/>
      <c r="CF141" s="206" t="n"/>
      <c r="DD141" s="233" t="n"/>
    </row>
    <row r="142">
      <c r="U142" s="206" t="n"/>
      <c r="AP142" s="206" t="n"/>
      <c r="BK142" s="206" t="n"/>
      <c r="CF142" s="206" t="n"/>
      <c r="DD142" s="233" t="n"/>
    </row>
    <row r="143">
      <c r="U143" s="206" t="n"/>
      <c r="AP143" s="206" t="n"/>
      <c r="BK143" s="206" t="n"/>
      <c r="CF143" s="206" t="n"/>
      <c r="DD143" s="233" t="n"/>
    </row>
    <row r="144">
      <c r="U144" s="206" t="n"/>
      <c r="AP144" s="206" t="n"/>
      <c r="BK144" s="206" t="n"/>
      <c r="CF144" s="206" t="n"/>
      <c r="DD144" s="233" t="n"/>
    </row>
    <row r="145">
      <c r="U145" s="206" t="n"/>
      <c r="AP145" s="206" t="n"/>
      <c r="BK145" s="206" t="n"/>
      <c r="CF145" s="206" t="n"/>
      <c r="DD145" s="233" t="n"/>
    </row>
    <row r="146">
      <c r="U146" s="206" t="n"/>
      <c r="AP146" s="206" t="n"/>
      <c r="BK146" s="206" t="n"/>
      <c r="CF146" s="206" t="n"/>
      <c r="DD146" s="233" t="n"/>
    </row>
    <row r="147">
      <c r="U147" s="206" t="n"/>
      <c r="AP147" s="206" t="n"/>
      <c r="BK147" s="206" t="n"/>
      <c r="CF147" s="206" t="n"/>
      <c r="DD147" s="233" t="n"/>
    </row>
    <row r="148">
      <c r="U148" s="206" t="n"/>
      <c r="AP148" s="206" t="n"/>
      <c r="BK148" s="206" t="n"/>
      <c r="CF148" s="206" t="n"/>
      <c r="DD148" s="233" t="n"/>
    </row>
    <row r="149">
      <c r="U149" s="206" t="n"/>
      <c r="AP149" s="206" t="n"/>
      <c r="BK149" s="206" t="n"/>
      <c r="CF149" s="206" t="n"/>
      <c r="DD149" s="233" t="n"/>
    </row>
    <row r="150">
      <c r="U150" s="206" t="n"/>
      <c r="AP150" s="206" t="n"/>
      <c r="BK150" s="206" t="n"/>
      <c r="CF150" s="206" t="n"/>
      <c r="DD150" s="233" t="n"/>
    </row>
    <row r="151">
      <c r="U151" s="206" t="n"/>
      <c r="AP151" s="206" t="n"/>
      <c r="BK151" s="206" t="n"/>
      <c r="CF151" s="206" t="n"/>
      <c r="DD151" s="233" t="n"/>
    </row>
    <row r="152">
      <c r="U152" s="206" t="n"/>
      <c r="AP152" s="206" t="n"/>
      <c r="BK152" s="206" t="n"/>
      <c r="CF152" s="206" t="n"/>
      <c r="DD152" s="233" t="n"/>
    </row>
    <row r="153">
      <c r="U153" s="206" t="n"/>
      <c r="AP153" s="206" t="n"/>
      <c r="BK153" s="206" t="n"/>
      <c r="CF153" s="206" t="n"/>
      <c r="DD153" s="233" t="n"/>
    </row>
    <row r="154">
      <c r="U154" s="206" t="n"/>
      <c r="AP154" s="206" t="n"/>
      <c r="BK154" s="206" t="n"/>
      <c r="CF154" s="206" t="n"/>
      <c r="DD154" s="233" t="n"/>
    </row>
    <row r="155">
      <c r="U155" s="206" t="n"/>
      <c r="AP155" s="206" t="n"/>
      <c r="BK155" s="206" t="n"/>
      <c r="CF155" s="206" t="n"/>
      <c r="DD155" s="233" t="n"/>
    </row>
    <row r="156">
      <c r="U156" s="206" t="n"/>
      <c r="AP156" s="206" t="n"/>
      <c r="BK156" s="206" t="n"/>
      <c r="CF156" s="206" t="n"/>
      <c r="DD156" s="233" t="n"/>
    </row>
    <row r="157">
      <c r="U157" s="206" t="n"/>
      <c r="AP157" s="206" t="n"/>
      <c r="BK157" s="206" t="n"/>
      <c r="CF157" s="206" t="n"/>
      <c r="DD157" s="233" t="n"/>
    </row>
    <row r="158">
      <c r="U158" s="206" t="n"/>
      <c r="AP158" s="206" t="n"/>
      <c r="BK158" s="206" t="n"/>
      <c r="CF158" s="206" t="n"/>
      <c r="DD158" s="233" t="n"/>
    </row>
    <row r="159">
      <c r="U159" s="206" t="n"/>
      <c r="AP159" s="206" t="n"/>
      <c r="BK159" s="206" t="n"/>
      <c r="CF159" s="206" t="n"/>
      <c r="DD159" s="233" t="n"/>
    </row>
    <row r="160">
      <c r="U160" s="206" t="n"/>
      <c r="AP160" s="206" t="n"/>
      <c r="BK160" s="206" t="n"/>
      <c r="CF160" s="206" t="n"/>
      <c r="DD160" s="233" t="n"/>
    </row>
    <row r="161">
      <c r="U161" s="206" t="n"/>
      <c r="AP161" s="206" t="n"/>
      <c r="BK161" s="206" t="n"/>
      <c r="CF161" s="206" t="n"/>
      <c r="DD161" s="233" t="n"/>
    </row>
    <row r="162">
      <c r="U162" s="206" t="n"/>
      <c r="AP162" s="206" t="n"/>
      <c r="BK162" s="206" t="n"/>
      <c r="CF162" s="206" t="n"/>
      <c r="DD162" s="233" t="n"/>
    </row>
    <row r="163">
      <c r="U163" s="206" t="n"/>
      <c r="AP163" s="206" t="n"/>
      <c r="BK163" s="206" t="n"/>
      <c r="CF163" s="206" t="n"/>
      <c r="DD163" s="233" t="n"/>
    </row>
    <row r="164">
      <c r="U164" s="206" t="n"/>
      <c r="AP164" s="206" t="n"/>
      <c r="BK164" s="206" t="n"/>
      <c r="CF164" s="206" t="n"/>
      <c r="DD164" s="233" t="n"/>
    </row>
    <row r="165">
      <c r="U165" s="206" t="n"/>
      <c r="AP165" s="206" t="n"/>
      <c r="BK165" s="206" t="n"/>
      <c r="CF165" s="206" t="n"/>
      <c r="DD165" s="233" t="n"/>
    </row>
    <row r="166">
      <c r="U166" s="206" t="n"/>
      <c r="AP166" s="206" t="n"/>
      <c r="BK166" s="206" t="n"/>
      <c r="CF166" s="206" t="n"/>
      <c r="DD166" s="233" t="n"/>
    </row>
    <row r="167">
      <c r="U167" s="206" t="n"/>
      <c r="AP167" s="206" t="n"/>
      <c r="BK167" s="206" t="n"/>
      <c r="CF167" s="206" t="n"/>
      <c r="DD167" s="233" t="n"/>
    </row>
    <row r="168">
      <c r="U168" s="206" t="n"/>
      <c r="AP168" s="206" t="n"/>
      <c r="BK168" s="206" t="n"/>
      <c r="CF168" s="206" t="n"/>
      <c r="DD168" s="233" t="n"/>
    </row>
    <row r="169">
      <c r="U169" s="206" t="n"/>
      <c r="AP169" s="206" t="n"/>
      <c r="BK169" s="206" t="n"/>
      <c r="CF169" s="206" t="n"/>
      <c r="DD169" s="233" t="n"/>
    </row>
    <row r="170">
      <c r="U170" s="206" t="n"/>
      <c r="AP170" s="206" t="n"/>
      <c r="BK170" s="206" t="n"/>
      <c r="CF170" s="206" t="n"/>
      <c r="DD170" s="233" t="n"/>
    </row>
    <row r="171">
      <c r="U171" s="206" t="n"/>
      <c r="AP171" s="206" t="n"/>
      <c r="BK171" s="206" t="n"/>
      <c r="CF171" s="206" t="n"/>
      <c r="DD171" s="233" t="n"/>
    </row>
    <row r="172">
      <c r="U172" s="206" t="n"/>
      <c r="AP172" s="206" t="n"/>
      <c r="BK172" s="206" t="n"/>
      <c r="CF172" s="206" t="n"/>
      <c r="DD172" s="233" t="n"/>
    </row>
    <row r="173">
      <c r="U173" s="206" t="n"/>
      <c r="AP173" s="206" t="n"/>
      <c r="BK173" s="206" t="n"/>
      <c r="CF173" s="206" t="n"/>
      <c r="DD173" s="233" t="n"/>
    </row>
    <row r="174">
      <c r="U174" s="206" t="n"/>
      <c r="AP174" s="206" t="n"/>
      <c r="BK174" s="206" t="n"/>
      <c r="CF174" s="206" t="n"/>
      <c r="DD174" s="233" t="n"/>
    </row>
    <row r="175">
      <c r="U175" s="206" t="n"/>
      <c r="AP175" s="206" t="n"/>
      <c r="BK175" s="206" t="n"/>
      <c r="CF175" s="206" t="n"/>
      <c r="DD175" s="233" t="n"/>
    </row>
    <row r="176">
      <c r="U176" s="206" t="n"/>
      <c r="AP176" s="206" t="n"/>
      <c r="BK176" s="206" t="n"/>
      <c r="CF176" s="206" t="n"/>
      <c r="DD176" s="233" t="n"/>
    </row>
    <row r="177">
      <c r="U177" s="206" t="n"/>
      <c r="AP177" s="206" t="n"/>
      <c r="BK177" s="206" t="n"/>
      <c r="CF177" s="206" t="n"/>
      <c r="DD177" s="233" t="n"/>
    </row>
    <row r="178">
      <c r="U178" s="206" t="n"/>
      <c r="AP178" s="206" t="n"/>
      <c r="BK178" s="206" t="n"/>
      <c r="CF178" s="206" t="n"/>
      <c r="DD178" s="233" t="n"/>
    </row>
    <row r="179">
      <c r="U179" s="206" t="n"/>
      <c r="AP179" s="206" t="n"/>
      <c r="BK179" s="206" t="n"/>
      <c r="CF179" s="206" t="n"/>
      <c r="DD179" s="233" t="n"/>
    </row>
    <row r="180">
      <c r="U180" s="206" t="n"/>
      <c r="AP180" s="206" t="n"/>
      <c r="BK180" s="206" t="n"/>
      <c r="CF180" s="206" t="n"/>
      <c r="DD180" s="233" t="n"/>
    </row>
    <row r="181">
      <c r="U181" s="206" t="n"/>
      <c r="AP181" s="206" t="n"/>
      <c r="BK181" s="206" t="n"/>
      <c r="CF181" s="206" t="n"/>
      <c r="DD181" s="233" t="n"/>
    </row>
    <row r="182">
      <c r="U182" s="206" t="n"/>
      <c r="AP182" s="206" t="n"/>
      <c r="BK182" s="206" t="n"/>
      <c r="CF182" s="206" t="n"/>
      <c r="DD182" s="233" t="n"/>
    </row>
    <row r="183">
      <c r="U183" s="206" t="n"/>
      <c r="AP183" s="206" t="n"/>
      <c r="BK183" s="206" t="n"/>
      <c r="CF183" s="206" t="n"/>
      <c r="DD183" s="233" t="n"/>
    </row>
    <row r="184">
      <c r="U184" s="206" t="n"/>
      <c r="AP184" s="206" t="n"/>
      <c r="BK184" s="206" t="n"/>
      <c r="CF184" s="206" t="n"/>
      <c r="DD184" s="233" t="n"/>
    </row>
    <row r="185">
      <c r="U185" s="206" t="n"/>
      <c r="AP185" s="206" t="n"/>
      <c r="BK185" s="206" t="n"/>
      <c r="CF185" s="206" t="n"/>
      <c r="DD185" s="233" t="n"/>
    </row>
    <row r="186">
      <c r="U186" s="206" t="n"/>
      <c r="AP186" s="206" t="n"/>
      <c r="BK186" s="206" t="n"/>
      <c r="CF186" s="206" t="n"/>
      <c r="DD186" s="233" t="n"/>
    </row>
    <row r="187">
      <c r="U187" s="206" t="n"/>
      <c r="AP187" s="206" t="n"/>
      <c r="BK187" s="206" t="n"/>
      <c r="CF187" s="206" t="n"/>
      <c r="DD187" s="233" t="n"/>
    </row>
    <row r="188">
      <c r="U188" s="206" t="n"/>
      <c r="AP188" s="206" t="n"/>
      <c r="BK188" s="206" t="n"/>
      <c r="CF188" s="206" t="n"/>
      <c r="DD188" s="233" t="n"/>
    </row>
    <row r="189">
      <c r="U189" s="206" t="n"/>
      <c r="AP189" s="206" t="n"/>
      <c r="BK189" s="206" t="n"/>
      <c r="CF189" s="206" t="n"/>
      <c r="DD189" s="233" t="n"/>
    </row>
    <row r="190">
      <c r="U190" s="206" t="n"/>
      <c r="AP190" s="206" t="n"/>
      <c r="BK190" s="206" t="n"/>
      <c r="CF190" s="206" t="n"/>
      <c r="DD190" s="233" t="n"/>
    </row>
    <row r="191">
      <c r="U191" s="206" t="n"/>
      <c r="AP191" s="206" t="n"/>
      <c r="BK191" s="206" t="n"/>
      <c r="CF191" s="206" t="n"/>
      <c r="DD191" s="233" t="n"/>
    </row>
    <row r="192">
      <c r="U192" s="206" t="n"/>
      <c r="AP192" s="206" t="n"/>
      <c r="BK192" s="206" t="n"/>
      <c r="CF192" s="206" t="n"/>
      <c r="DD192" s="233" t="n"/>
    </row>
    <row r="193">
      <c r="U193" s="206" t="n"/>
      <c r="AP193" s="206" t="n"/>
      <c r="BK193" s="206" t="n"/>
      <c r="CF193" s="206" t="n"/>
      <c r="DD193" s="233" t="n"/>
    </row>
    <row r="194">
      <c r="U194" s="206" t="n"/>
      <c r="AP194" s="206" t="n"/>
      <c r="BK194" s="206" t="n"/>
      <c r="CF194" s="206" t="n"/>
      <c r="DD194" s="233" t="n"/>
    </row>
    <row r="195">
      <c r="U195" s="206" t="n"/>
      <c r="AP195" s="206" t="n"/>
      <c r="BK195" s="206" t="n"/>
      <c r="CF195" s="206" t="n"/>
      <c r="DD195" s="233" t="n"/>
    </row>
    <row r="196">
      <c r="U196" s="206" t="n"/>
      <c r="AP196" s="206" t="n"/>
      <c r="BK196" s="206" t="n"/>
      <c r="CF196" s="206" t="n"/>
      <c r="DD196" s="233" t="n"/>
    </row>
    <row r="197">
      <c r="U197" s="206" t="n"/>
      <c r="AP197" s="206" t="n"/>
      <c r="BK197" s="206" t="n"/>
      <c r="CF197" s="206" t="n"/>
      <c r="DD197" s="233" t="n"/>
    </row>
    <row r="198">
      <c r="U198" s="206" t="n"/>
      <c r="AP198" s="206" t="n"/>
      <c r="BK198" s="206" t="n"/>
      <c r="CF198" s="206" t="n"/>
      <c r="DD198" s="233" t="n"/>
    </row>
    <row r="199">
      <c r="U199" s="206" t="n"/>
      <c r="AP199" s="206" t="n"/>
      <c r="BK199" s="206" t="n"/>
      <c r="CF199" s="206" t="n"/>
      <c r="DD199" s="233" t="n"/>
    </row>
    <row r="200">
      <c r="U200" s="206" t="n"/>
      <c r="AP200" s="206" t="n"/>
      <c r="BK200" s="206" t="n"/>
      <c r="CF200" s="206" t="n"/>
      <c r="DD200" s="233" t="n"/>
    </row>
    <row r="201">
      <c r="U201" s="206" t="n"/>
      <c r="AP201" s="206" t="n"/>
      <c r="BK201" s="206" t="n"/>
      <c r="CF201" s="206" t="n"/>
      <c r="DD201" s="233" t="n"/>
    </row>
    <row r="202">
      <c r="U202" s="206" t="n"/>
      <c r="AP202" s="206" t="n"/>
      <c r="BK202" s="206" t="n"/>
      <c r="CF202" s="206" t="n"/>
      <c r="DD202" s="233" t="n"/>
    </row>
    <row r="203">
      <c r="A203" s="209" t="n"/>
      <c r="B203" s="210" t="n"/>
      <c r="C203" s="210" t="n"/>
      <c r="D203" s="210" t="n"/>
      <c r="E203" s="210" t="n"/>
      <c r="F203" s="210" t="n"/>
      <c r="G203" s="210" t="n"/>
      <c r="H203" s="210" t="n"/>
      <c r="I203" s="210" t="n"/>
      <c r="J203" s="211" t="n"/>
      <c r="K203" s="210" t="n"/>
      <c r="L203" s="210" t="n"/>
      <c r="M203" s="210" t="n"/>
      <c r="N203" s="210" t="n"/>
      <c r="O203" s="210" t="n"/>
      <c r="P203" s="210" t="n"/>
      <c r="Q203" s="210" t="n"/>
      <c r="R203" s="210" t="n"/>
      <c r="S203" s="210" t="n"/>
      <c r="T203" s="210" t="n"/>
      <c r="U203" s="212" t="n"/>
      <c r="V203" s="209" t="n"/>
      <c r="W203" s="210" t="n"/>
      <c r="X203" s="210" t="n"/>
      <c r="Y203" s="210" t="n"/>
      <c r="Z203" s="210" t="n"/>
      <c r="AA203" s="210" t="n"/>
      <c r="AB203" s="210" t="n"/>
      <c r="AC203" s="210" t="n"/>
      <c r="AD203" s="210" t="n"/>
      <c r="AE203" s="211" t="n"/>
      <c r="AF203" s="210" t="n"/>
      <c r="AG203" s="210" t="n"/>
      <c r="AH203" s="210" t="n"/>
      <c r="AI203" s="210" t="n"/>
      <c r="AJ203" s="210" t="n"/>
      <c r="AK203" s="210" t="n"/>
      <c r="AL203" s="210" t="n"/>
      <c r="AM203" s="210" t="n"/>
      <c r="AN203" s="210" t="n"/>
      <c r="AO203" s="210" t="n"/>
      <c r="AP203" s="212" t="n"/>
      <c r="AQ203" s="209" t="n"/>
      <c r="AR203" s="210" t="n"/>
      <c r="AS203" s="210" t="n"/>
      <c r="AT203" s="210" t="n"/>
      <c r="AU203" s="210" t="n"/>
      <c r="AV203" s="210" t="n"/>
      <c r="AW203" s="210" t="n"/>
      <c r="AX203" s="210" t="n"/>
      <c r="AY203" s="210" t="n"/>
      <c r="AZ203" s="211" t="n"/>
      <c r="BA203" s="210" t="n"/>
      <c r="BB203" s="210" t="n"/>
      <c r="BC203" s="210" t="n"/>
      <c r="BD203" s="210" t="n"/>
      <c r="BE203" s="210" t="n"/>
      <c r="BF203" s="210" t="n"/>
      <c r="BG203" s="210" t="n"/>
      <c r="BH203" s="210" t="n"/>
      <c r="BI203" s="210" t="n"/>
      <c r="BJ203" s="210" t="n"/>
      <c r="BK203" s="212" t="n"/>
      <c r="BL203" s="209" t="n"/>
      <c r="BM203" s="210" t="n"/>
      <c r="BN203" s="210" t="n"/>
      <c r="BO203" s="210" t="n"/>
      <c r="BP203" s="210" t="n"/>
      <c r="BQ203" s="210" t="n"/>
      <c r="BR203" s="210" t="n"/>
      <c r="BS203" s="210" t="n"/>
      <c r="BT203" s="210" t="n"/>
      <c r="BU203" s="211" t="n"/>
      <c r="BV203" s="210" t="n"/>
      <c r="BW203" s="210" t="n"/>
      <c r="BX203" s="210" t="n"/>
      <c r="BY203" s="210" t="n"/>
      <c r="BZ203" s="210" t="n"/>
      <c r="CA203" s="210" t="n"/>
      <c r="CB203" s="210" t="n"/>
      <c r="CC203" s="210" t="n"/>
      <c r="CD203" s="210" t="n"/>
      <c r="CE203" s="210" t="n"/>
      <c r="CF203" s="212" t="n"/>
      <c r="DD203" s="233" t="n"/>
    </row>
    <row r="204" ht="17.25" customHeight="1" thickBot="1">
      <c r="DD204" s="234" t="n"/>
    </row>
  </sheetData>
  <mergeCells count="9">
    <mergeCell ref="BA1:BJ1"/>
    <mergeCell ref="A1:J1"/>
    <mergeCell ref="AQ1:AZ1"/>
    <mergeCell ref="BV1:CE1"/>
    <mergeCell ref="BL1:BU1"/>
    <mergeCell ref="CO7:CP10"/>
    <mergeCell ref="V1:AE1"/>
    <mergeCell ref="K1:T1"/>
    <mergeCell ref="AF1:AO1"/>
  </mergeCells>
  <pageMargins left="0.7" right="0.7" top="0.75" bottom="0.75" header="0.3" footer="0.3"/>
  <pageSetup orientation="portrait" paperSize="14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Yong Barba</dc:creator>
  <dc:description xmlns:dc="http://purl.org/dc/elements/1.1/">ngoyab</dc:description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2026-07-12T08:29:25Z</dcterms:modified>
  <cp:lastModifiedBy>RICHIE RYAN MABUNAY</cp:lastModifiedBy>
  <cp:keywords>ECR</cp:keywords>
  <cp:lastPrinted>2026-06-14T13:03:06Z</cp:lastPrinted>
</cp:coreProperties>
</file>